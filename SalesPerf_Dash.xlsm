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G142\Downloads\"/>
    </mc:Choice>
  </mc:AlternateContent>
  <xr:revisionPtr revIDLastSave="0" documentId="8_{1DDC1300-E484-4FC9-8BA0-6E74C723787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ASHBOARD" sheetId="1" r:id="rId1"/>
    <sheet name="RAW DATA" sheetId="3" r:id="rId2"/>
    <sheet name="Dashboard_V2" sheetId="4" r:id="rId3"/>
  </sheets>
  <definedNames>
    <definedName name="Slicer_Region">#N/A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2" i="3" l="1"/>
  <c r="K142" i="3" s="1"/>
  <c r="L142" i="3" s="1"/>
  <c r="I141" i="3"/>
  <c r="K141" i="3" s="1"/>
  <c r="L141" i="3" s="1"/>
  <c r="K140" i="3"/>
  <c r="L140" i="3" s="1"/>
  <c r="I140" i="3"/>
  <c r="I139" i="3"/>
  <c r="K139" i="3" s="1"/>
  <c r="L139" i="3" s="1"/>
  <c r="I138" i="3"/>
  <c r="K138" i="3" s="1"/>
  <c r="L138" i="3" s="1"/>
  <c r="I137" i="3"/>
  <c r="K137" i="3" s="1"/>
  <c r="L137" i="3" s="1"/>
  <c r="K136" i="3"/>
  <c r="L136" i="3" s="1"/>
  <c r="I136" i="3"/>
  <c r="I135" i="3"/>
  <c r="K135" i="3" s="1"/>
  <c r="L135" i="3" s="1"/>
  <c r="I134" i="3"/>
  <c r="K134" i="3" s="1"/>
  <c r="L134" i="3" s="1"/>
  <c r="I133" i="3"/>
  <c r="K133" i="3" s="1"/>
  <c r="L133" i="3" s="1"/>
  <c r="K132" i="3"/>
  <c r="L132" i="3" s="1"/>
  <c r="I132" i="3"/>
  <c r="I131" i="3"/>
  <c r="K131" i="3" s="1"/>
  <c r="L131" i="3" s="1"/>
  <c r="I130" i="3"/>
  <c r="K130" i="3" s="1"/>
  <c r="L130" i="3" s="1"/>
  <c r="I129" i="3"/>
  <c r="K129" i="3" s="1"/>
  <c r="L129" i="3" s="1"/>
  <c r="K128" i="3"/>
  <c r="L128" i="3" s="1"/>
  <c r="I128" i="3"/>
  <c r="I127" i="3"/>
  <c r="K127" i="3" s="1"/>
  <c r="L127" i="3" s="1"/>
  <c r="I126" i="3"/>
  <c r="K126" i="3" s="1"/>
  <c r="L126" i="3" s="1"/>
  <c r="L125" i="3"/>
  <c r="I125" i="3"/>
  <c r="K125" i="3" s="1"/>
  <c r="K124" i="3"/>
  <c r="L124" i="3" s="1"/>
  <c r="I124" i="3"/>
  <c r="I123" i="3"/>
  <c r="K123" i="3" s="1"/>
  <c r="L123" i="3" s="1"/>
  <c r="I122" i="3"/>
  <c r="K122" i="3" s="1"/>
  <c r="L122" i="3" s="1"/>
  <c r="L121" i="3"/>
  <c r="I121" i="3"/>
  <c r="K121" i="3" s="1"/>
  <c r="K120" i="3"/>
  <c r="L120" i="3" s="1"/>
  <c r="I120" i="3"/>
  <c r="I119" i="3"/>
  <c r="K119" i="3" s="1"/>
  <c r="L119" i="3" s="1"/>
  <c r="I118" i="3"/>
  <c r="K118" i="3" s="1"/>
  <c r="L118" i="3" s="1"/>
  <c r="I117" i="3"/>
  <c r="K117" i="3" s="1"/>
  <c r="L117" i="3" s="1"/>
  <c r="K116" i="3"/>
  <c r="L116" i="3" s="1"/>
  <c r="I116" i="3"/>
  <c r="I115" i="3"/>
  <c r="K115" i="3" s="1"/>
  <c r="L115" i="3" s="1"/>
  <c r="I114" i="3"/>
  <c r="K114" i="3" s="1"/>
  <c r="L114" i="3" s="1"/>
  <c r="I113" i="3"/>
  <c r="K113" i="3" s="1"/>
  <c r="L113" i="3" s="1"/>
  <c r="K112" i="3"/>
  <c r="L112" i="3" s="1"/>
  <c r="I112" i="3"/>
  <c r="I111" i="3"/>
  <c r="K111" i="3" s="1"/>
  <c r="L111" i="3" s="1"/>
  <c r="I110" i="3"/>
  <c r="K110" i="3" s="1"/>
  <c r="L110" i="3" s="1"/>
  <c r="L109" i="3"/>
  <c r="I109" i="3"/>
  <c r="K109" i="3" s="1"/>
  <c r="K108" i="3"/>
  <c r="L108" i="3" s="1"/>
  <c r="I108" i="3"/>
  <c r="I107" i="3"/>
  <c r="K107" i="3" s="1"/>
  <c r="L107" i="3" s="1"/>
  <c r="I106" i="3"/>
  <c r="K106" i="3" s="1"/>
  <c r="L106" i="3" s="1"/>
  <c r="I105" i="3"/>
  <c r="K105" i="3" s="1"/>
  <c r="L105" i="3" s="1"/>
  <c r="K104" i="3"/>
  <c r="L104" i="3" s="1"/>
  <c r="I104" i="3"/>
  <c r="I103" i="3"/>
  <c r="K103" i="3" s="1"/>
  <c r="L103" i="3" s="1"/>
  <c r="I102" i="3"/>
  <c r="K102" i="3" s="1"/>
  <c r="L102" i="3" s="1"/>
  <c r="I101" i="3"/>
  <c r="K101" i="3" s="1"/>
  <c r="L101" i="3" s="1"/>
  <c r="K100" i="3"/>
  <c r="L100" i="3" s="1"/>
  <c r="I100" i="3"/>
  <c r="I99" i="3"/>
  <c r="K99" i="3" s="1"/>
  <c r="L99" i="3" s="1"/>
  <c r="I98" i="3"/>
  <c r="K98" i="3" s="1"/>
  <c r="L98" i="3" s="1"/>
  <c r="I97" i="3"/>
  <c r="K97" i="3" s="1"/>
  <c r="L97" i="3" s="1"/>
  <c r="K96" i="3"/>
  <c r="L96" i="3" s="1"/>
  <c r="I96" i="3"/>
  <c r="I95" i="3"/>
  <c r="K95" i="3" s="1"/>
  <c r="L95" i="3" s="1"/>
  <c r="I94" i="3"/>
  <c r="K94" i="3" s="1"/>
  <c r="L94" i="3" s="1"/>
  <c r="L93" i="3"/>
  <c r="I93" i="3"/>
  <c r="K93" i="3" s="1"/>
  <c r="K92" i="3"/>
  <c r="L92" i="3" s="1"/>
  <c r="I92" i="3"/>
  <c r="I91" i="3"/>
  <c r="K91" i="3" s="1"/>
  <c r="L91" i="3" s="1"/>
  <c r="I90" i="3"/>
  <c r="K90" i="3" s="1"/>
  <c r="L90" i="3" s="1"/>
  <c r="I89" i="3"/>
  <c r="K89" i="3" s="1"/>
  <c r="L89" i="3" s="1"/>
  <c r="K88" i="3"/>
  <c r="L88" i="3" s="1"/>
  <c r="I88" i="3"/>
  <c r="I87" i="3"/>
  <c r="K87" i="3" s="1"/>
  <c r="L87" i="3" s="1"/>
  <c r="I86" i="3"/>
  <c r="K86" i="3" s="1"/>
  <c r="L86" i="3" s="1"/>
  <c r="I85" i="3"/>
  <c r="K85" i="3" s="1"/>
  <c r="L85" i="3" s="1"/>
  <c r="K84" i="3"/>
  <c r="L84" i="3" s="1"/>
  <c r="I84" i="3"/>
  <c r="I83" i="3"/>
  <c r="K83" i="3" s="1"/>
  <c r="L83" i="3" s="1"/>
  <c r="I82" i="3"/>
  <c r="K82" i="3" s="1"/>
  <c r="L82" i="3" s="1"/>
  <c r="I81" i="3"/>
  <c r="K81" i="3" s="1"/>
  <c r="L81" i="3" s="1"/>
  <c r="K80" i="3"/>
  <c r="L80" i="3" s="1"/>
  <c r="I80" i="3"/>
  <c r="K79" i="3"/>
  <c r="L79" i="3" s="1"/>
  <c r="I79" i="3"/>
  <c r="I78" i="3"/>
  <c r="K78" i="3" s="1"/>
  <c r="L78" i="3" s="1"/>
  <c r="I77" i="3"/>
  <c r="K77" i="3" s="1"/>
  <c r="L77" i="3" s="1"/>
  <c r="K76" i="3"/>
  <c r="L76" i="3" s="1"/>
  <c r="I76" i="3"/>
  <c r="I75" i="3"/>
  <c r="K75" i="3" s="1"/>
  <c r="L75" i="3" s="1"/>
  <c r="I74" i="3"/>
  <c r="K74" i="3" s="1"/>
  <c r="L74" i="3" s="1"/>
  <c r="I73" i="3"/>
  <c r="K73" i="3" s="1"/>
  <c r="L73" i="3" s="1"/>
  <c r="K72" i="3"/>
  <c r="L72" i="3" s="1"/>
  <c r="I72" i="3"/>
  <c r="I71" i="3"/>
  <c r="K71" i="3" s="1"/>
  <c r="L71" i="3" s="1"/>
  <c r="I70" i="3"/>
  <c r="K70" i="3" s="1"/>
  <c r="L70" i="3" s="1"/>
  <c r="L69" i="3"/>
  <c r="I69" i="3"/>
  <c r="K69" i="3" s="1"/>
  <c r="K68" i="3"/>
  <c r="L68" i="3" s="1"/>
  <c r="I68" i="3"/>
  <c r="I67" i="3"/>
  <c r="K67" i="3" s="1"/>
  <c r="L67" i="3" s="1"/>
  <c r="I66" i="3"/>
  <c r="K66" i="3" s="1"/>
  <c r="L66" i="3" s="1"/>
  <c r="L65" i="3"/>
  <c r="I65" i="3"/>
  <c r="K65" i="3" s="1"/>
  <c r="K64" i="3"/>
  <c r="L64" i="3" s="1"/>
  <c r="I64" i="3"/>
  <c r="I63" i="3"/>
  <c r="K63" i="3" s="1"/>
  <c r="L63" i="3" s="1"/>
  <c r="I62" i="3"/>
  <c r="K62" i="3" s="1"/>
  <c r="L62" i="3" s="1"/>
  <c r="I61" i="3"/>
  <c r="K61" i="3" s="1"/>
  <c r="L61" i="3" s="1"/>
  <c r="L60" i="3"/>
  <c r="K60" i="3"/>
  <c r="I60" i="3"/>
  <c r="I59" i="3"/>
  <c r="K59" i="3" s="1"/>
  <c r="L59" i="3" s="1"/>
  <c r="I58" i="3"/>
  <c r="K58" i="3" s="1"/>
  <c r="L58" i="3" s="1"/>
  <c r="I57" i="3"/>
  <c r="K57" i="3" s="1"/>
  <c r="L57" i="3" s="1"/>
  <c r="K56" i="3"/>
  <c r="L56" i="3" s="1"/>
  <c r="I56" i="3"/>
  <c r="I55" i="3"/>
  <c r="K55" i="3" s="1"/>
  <c r="L55" i="3" s="1"/>
  <c r="I54" i="3"/>
  <c r="K54" i="3" s="1"/>
  <c r="L54" i="3" s="1"/>
  <c r="I53" i="3"/>
  <c r="K53" i="3" s="1"/>
  <c r="L53" i="3" s="1"/>
  <c r="K52" i="3"/>
  <c r="L52" i="3" s="1"/>
  <c r="I52" i="3"/>
  <c r="I51" i="3"/>
  <c r="K51" i="3" s="1"/>
  <c r="L51" i="3" s="1"/>
  <c r="I50" i="3"/>
  <c r="K50" i="3" s="1"/>
  <c r="L50" i="3" s="1"/>
  <c r="I49" i="3"/>
  <c r="K49" i="3" s="1"/>
  <c r="L49" i="3" s="1"/>
  <c r="K48" i="3"/>
  <c r="L48" i="3" s="1"/>
  <c r="I48" i="3"/>
  <c r="K47" i="3"/>
  <c r="L47" i="3" s="1"/>
  <c r="I47" i="3"/>
  <c r="I46" i="3"/>
  <c r="K46" i="3" s="1"/>
  <c r="L46" i="3" s="1"/>
  <c r="I45" i="3"/>
  <c r="K45" i="3" s="1"/>
  <c r="L45" i="3" s="1"/>
  <c r="K44" i="3"/>
  <c r="L44" i="3" s="1"/>
  <c r="I44" i="3"/>
  <c r="K43" i="3"/>
  <c r="L43" i="3" s="1"/>
  <c r="I43" i="3"/>
  <c r="I42" i="3"/>
  <c r="K42" i="3" s="1"/>
  <c r="L42" i="3" s="1"/>
  <c r="I41" i="3"/>
  <c r="K41" i="3" s="1"/>
  <c r="L41" i="3" s="1"/>
  <c r="K40" i="3"/>
  <c r="L40" i="3" s="1"/>
  <c r="I40" i="3"/>
  <c r="K39" i="3"/>
  <c r="L39" i="3" s="1"/>
  <c r="I39" i="3"/>
  <c r="I38" i="3"/>
  <c r="K38" i="3" s="1"/>
  <c r="L38" i="3" s="1"/>
  <c r="I37" i="3"/>
  <c r="K37" i="3" s="1"/>
  <c r="L37" i="3" s="1"/>
  <c r="K36" i="3"/>
  <c r="L36" i="3" s="1"/>
  <c r="I36" i="3"/>
  <c r="K35" i="3"/>
  <c r="L35" i="3" s="1"/>
  <c r="I35" i="3"/>
  <c r="I34" i="3"/>
  <c r="K34" i="3" s="1"/>
  <c r="L34" i="3" s="1"/>
  <c r="I33" i="3"/>
  <c r="K33" i="3" s="1"/>
  <c r="L33" i="3" s="1"/>
  <c r="K32" i="3"/>
  <c r="L32" i="3" s="1"/>
  <c r="I32" i="3"/>
  <c r="K31" i="3"/>
  <c r="L31" i="3" s="1"/>
  <c r="I31" i="3"/>
  <c r="I30" i="3"/>
  <c r="K30" i="3" s="1"/>
  <c r="L30" i="3" s="1"/>
  <c r="I29" i="3"/>
  <c r="K29" i="3" s="1"/>
  <c r="L29" i="3" s="1"/>
  <c r="K28" i="3"/>
  <c r="L28" i="3" s="1"/>
  <c r="I28" i="3"/>
  <c r="K27" i="3"/>
  <c r="L27" i="3" s="1"/>
  <c r="I27" i="3"/>
  <c r="I26" i="3"/>
  <c r="K26" i="3" s="1"/>
  <c r="L26" i="3" s="1"/>
  <c r="I25" i="3"/>
  <c r="K25" i="3" s="1"/>
  <c r="L25" i="3" s="1"/>
  <c r="K24" i="3"/>
  <c r="L24" i="3" s="1"/>
  <c r="I24" i="3"/>
  <c r="K23" i="3"/>
  <c r="L23" i="3" s="1"/>
  <c r="I23" i="3"/>
  <c r="I22" i="3"/>
  <c r="K22" i="3" s="1"/>
  <c r="L22" i="3" s="1"/>
  <c r="I21" i="3"/>
  <c r="K21" i="3" s="1"/>
  <c r="L21" i="3" s="1"/>
  <c r="K20" i="3"/>
  <c r="L20" i="3" s="1"/>
  <c r="I20" i="3"/>
  <c r="K19" i="3"/>
  <c r="L19" i="3" s="1"/>
  <c r="I19" i="3"/>
  <c r="I18" i="3"/>
  <c r="K18" i="3" s="1"/>
  <c r="L18" i="3" s="1"/>
  <c r="I17" i="3"/>
  <c r="K17" i="3" s="1"/>
  <c r="L17" i="3" s="1"/>
  <c r="K16" i="3"/>
  <c r="L16" i="3" s="1"/>
  <c r="I16" i="3"/>
  <c r="K15" i="3"/>
  <c r="L15" i="3" s="1"/>
  <c r="I15" i="3"/>
  <c r="I14" i="3"/>
  <c r="K14" i="3" s="1"/>
  <c r="L14" i="3" s="1"/>
  <c r="I13" i="3"/>
  <c r="K13" i="3" s="1"/>
  <c r="L13" i="3" s="1"/>
  <c r="K12" i="3"/>
  <c r="L12" i="3" s="1"/>
  <c r="I12" i="3"/>
  <c r="K11" i="3"/>
  <c r="L11" i="3" s="1"/>
  <c r="I11" i="3"/>
  <c r="I10" i="3"/>
  <c r="K10" i="3" s="1"/>
  <c r="L10" i="3" s="1"/>
  <c r="I9" i="3"/>
  <c r="K9" i="3" s="1"/>
  <c r="L9" i="3" s="1"/>
  <c r="K8" i="3"/>
  <c r="L8" i="3" s="1"/>
  <c r="I8" i="3"/>
  <c r="K7" i="3"/>
  <c r="L7" i="3" s="1"/>
  <c r="I7" i="3"/>
  <c r="I6" i="3"/>
  <c r="K6" i="3" s="1"/>
  <c r="L6" i="3" s="1"/>
  <c r="I5" i="3"/>
  <c r="K5" i="3" s="1"/>
  <c r="L5" i="3" s="1"/>
  <c r="K4" i="3"/>
  <c r="L4" i="3" s="1"/>
  <c r="I4" i="3"/>
  <c r="K3" i="3"/>
  <c r="L3" i="3" s="1"/>
  <c r="I3" i="3"/>
  <c r="I2" i="3"/>
  <c r="K2" i="3" s="1"/>
  <c r="L2" i="3" s="1"/>
</calcChain>
</file>

<file path=xl/sharedStrings.xml><?xml version="1.0" encoding="utf-8"?>
<sst xmlns="http://schemas.openxmlformats.org/spreadsheetml/2006/main" count="490" uniqueCount="309">
  <si>
    <t>Sales Executive</t>
  </si>
  <si>
    <t xml:space="preserve">Total Sales </t>
  </si>
  <si>
    <t>Target Hit % wise</t>
  </si>
  <si>
    <t>Away From Target % wise</t>
  </si>
  <si>
    <t>Anoop Narayan</t>
  </si>
  <si>
    <t>Azam</t>
  </si>
  <si>
    <t>Arvind Sharma</t>
  </si>
  <si>
    <t>Heeramani Choudhary</t>
  </si>
  <si>
    <t>Julie S</t>
  </si>
  <si>
    <t>Nitin Bhatia</t>
  </si>
  <si>
    <t>Prasannakumari S</t>
  </si>
  <si>
    <t>Renu Pratap</t>
  </si>
  <si>
    <t>Shankar Attendant</t>
  </si>
  <si>
    <t>Surendranath Thakur</t>
  </si>
  <si>
    <t>Emp Code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</si>
  <si>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</si>
  <si>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</si>
  <si>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</si>
  <si>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</si>
  <si>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</si>
  <si>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</si>
  <si>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</si>
  <si>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</si>
  <si>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</si>
  <si>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</si>
  <si>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</si>
  <si>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</si>
  <si>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</si>
  <si>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</si>
  <si>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</si>
  <si>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</si>
  <si>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</si>
  <si>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</si>
  <si>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</si>
  <si>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</si>
  <si>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</si>
  <si>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</si>
  <si>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</si>
  <si>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</si>
  <si>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</si>
  <si>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</si>
  <si>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</si>
  <si>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</si>
  <si>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</si>
  <si>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</si>
  <si>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</si>
  <si>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</si>
  <si>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</si>
  <si>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</si>
  <si>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</si>
  <si>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</si>
  <si>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</si>
  <si>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</si>
  <si>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</si>
  <si>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</si>
  <si>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</si>
  <si>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</si>
  <si>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</si>
  <si>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</si>
  <si>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</si>
  <si>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</si>
  <si>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</si>
  <si>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</si>
  <si>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</si>
  <si>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</si>
  <si>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</si>
  <si>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</si>
  <si>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</si>
  <si>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</si>
  <si>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</si>
  <si>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</si>
  <si>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</si>
  <si>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</si>
  <si>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</si>
  <si>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</si>
  <si>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</si>
  <si>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</si>
  <si>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</si>
  <si>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</si>
  <si>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</si>
  <si>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</si>
  <si>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</si>
  <si>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</si>
  <si>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</si>
  <si>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</si>
  <si>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</si>
  <si>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</si>
  <si>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</si>
  <si>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</si>
  <si>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</si>
  <si>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</si>
  <si>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</si>
  <si>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</si>
  <si>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</si>
  <si>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</si>
  <si>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</si>
  <si>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</si>
  <si>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</si>
  <si>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</si>
  <si>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</si>
  <si>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</si>
  <si>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</si>
  <si>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</si>
  <si>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</si>
  <si>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</si>
  <si>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</si>
  <si>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</si>
  <si>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</si>
  <si>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</si>
  <si>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</si>
  <si>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</si>
  <si>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</si>
  <si>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</si>
  <si>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</si>
  <si>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</si>
  <si>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</si>
  <si>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</si>
  <si>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</si>
  <si>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</si>
  <si>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</si>
  <si>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</si>
  <si>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</si>
  <si>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</si>
  <si>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</si>
  <si>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</si>
  <si>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</si>
  <si>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</si>
  <si>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</si>
  <si>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</si>
  <si>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</si>
  <si>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</si>
  <si>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</si>
  <si>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</si>
  <si>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</si>
  <si>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</si>
  <si>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</si>
  <si>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</si>
  <si>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</si>
  <si>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</si>
  <si>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</si>
  <si>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</si>
  <si>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</si>
  <si>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</si>
  <si>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</si>
  <si>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</si>
  <si>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</si>
  <si>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</si>
  <si>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</si>
  <si>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</si>
  <si>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</si>
  <si>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</si>
  <si>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</si>
  <si>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</si>
  <si>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</si>
  <si>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</si>
  <si>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</si>
  <si>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</si>
  <si>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</si>
  <si>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</si>
  <si>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</si>
  <si>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</si>
  <si>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</si>
  <si>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</si>
  <si>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</si>
  <si>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</si>
  <si>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</si>
  <si>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</si>
  <si>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</si>
  <si>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</si>
  <si>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</si>
  <si>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</si>
  <si>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</si>
  <si>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</si>
  <si>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</si>
  <si>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</si>
  <si>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</si>
  <si>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</si>
  <si>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</si>
  <si>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</si>
  <si>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</si>
  <si>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</si>
  <si>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</si>
  <si>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</si>
  <si>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</si>
  <si>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</si>
  <si>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</si>
  <si>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</si>
  <si>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</si>
  <si>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</si>
  <si>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</si>
  <si>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</si>
  <si>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</si>
  <si>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</si>
  <si>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</si>
  <si>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</si>
  <si>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</si>
  <si>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</si>
  <si>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</si>
  <si>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</si>
  <si>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</si>
  <si>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</si>
  <si>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</si>
  <si>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</si>
  <si>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</si>
  <si>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</si>
  <si>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</si>
  <si>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</si>
  <si>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</si>
  <si>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</si>
  <si>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</si>
  <si>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</si>
  <si>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</si>
  <si>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</si>
  <si>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</si>
  <si>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</si>
  <si>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</si>
  <si>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</si>
  <si>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</si>
  <si>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</si>
  <si>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</si>
  <si>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</si>
  <si>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</si>
  <si>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</si>
  <si>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</si>
  <si>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</si>
  <si>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</si>
  <si>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</si>
  <si>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</si>
  <si>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</si>
  <si>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</si>
  <si>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</si>
  <si>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</si>
  <si>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</si>
  <si>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</si>
  <si>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</si>
  <si>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</si>
  <si>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</si>
  <si>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</si>
  <si>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</si>
  <si>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</si>
  <si>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</si>
  <si>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</si>
  <si>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</si>
  <si>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</si>
  <si>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</si>
  <si>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</si>
  <si>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</si>
  <si>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</si>
  <si>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</si>
  <si>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</si>
  <si>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</si>
  <si>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</si>
  <si>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</si>
  <si>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</si>
  <si>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</si>
  <si>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</si>
  <si>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</si>
  <si>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</si>
  <si>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</si>
  <si>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</si>
  <si>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</si>
  <si>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</si>
  <si>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</si>
  <si>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</si>
  <si>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</si>
  <si>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</si>
  <si>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</si>
  <si>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</si>
  <si>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</si>
  <si>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</si>
  <si>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</si>
  <si>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</si>
  <si>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</si>
  <si>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</si>
  <si>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</si>
  <si>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</si>
  <si>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</si>
  <si>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</si>
  <si>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</si>
  <si>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</si>
  <si>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</si>
  <si>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</si>
  <si>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</si>
  <si>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</si>
  <si>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</si>
  <si>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</si>
  <si>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</si>
  <si>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</si>
  <si>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</si>
  <si>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</si>
  <si>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</si>
  <si>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</si>
  <si>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</si>
  <si>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</si>
  <si>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</si>
  <si>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</si>
  <si>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</si>
  <si>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</si>
  <si>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</si>
  <si>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</si>
  <si>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</si>
  <si>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</si>
  <si>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</si>
  <si>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</si>
  <si>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</si>
  <si>
    <t>Region-wise Total Sales</t>
  </si>
  <si>
    <t>Top 5 Sales Executives</t>
  </si>
  <si>
    <t>Day-wise Sales Trend</t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</si>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</sst>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1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6" fillId="6" borderId="0" xfId="0" applyFont="1" applyFill="1"/>
    <xf numFmtId="0" fontId="0" fillId="7" borderId="0" xfId="0" applyFill="1"/>
  </cellXfs>
  <cellStyles count="2">
    <cellStyle name="Normal" xfId="0" builtinId="0"/>
    <cellStyle name="Percent" xfId="1" builtinId="5"/>
  </cellStyles>
  <dxfs count="22"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1" xr9:uid="{00000000-0011-0000-FFFF-FFFF00000000}">
      <tableStyleElement type="wholeTabl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[SalesPerf_Dash.xlsm]DASHBOARD!PivotTable1</c:name>
    <c:fmtId val="0"/>
  </c:pivotSource>
  <c:chart>
    <c:title>
      <c:overlay val="0"/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  <a:prstDash val="solid"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Lbls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DASHBOARD!$A$4:$A$8</c:f>
              <c:strCache>
                <c:ptCount val="5"/>
                <c:pt idx="0">
                  <c:v>Anoop Narayan</c:v>
                </c:pt>
                <c:pt idx="1">
                  <c:v>Arvind Sharma</c:v>
                </c:pt>
                <c:pt idx="2">
                  <c:v>Julie S</c:v>
                </c:pt>
                <c:pt idx="3">
                  <c:v>Prasannakumari S</c:v>
                </c:pt>
                <c:pt idx="4">
                  <c:v>Shankar Attendant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5"/>
                <c:pt idx="0">
                  <c:v>355</c:v>
                </c:pt>
                <c:pt idx="1">
                  <c:v>379</c:v>
                </c:pt>
                <c:pt idx="2">
                  <c:v>374</c:v>
                </c:pt>
                <c:pt idx="3">
                  <c:v>342</c:v>
                </c:pt>
                <c:pt idx="4">
                  <c:v>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8-41C1-86F3-649609F64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44122008"/>
        <c:axId val="644124960"/>
      </c:barChart>
      <c:catAx>
        <c:axId val="644122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124960"/>
        <c:crosses val="autoZero"/>
        <c:auto val="1"/>
        <c:lblAlgn val="ctr"/>
        <c:lblOffset val="100"/>
        <c:noMultiLvlLbl val="0"/>
      </c:catAx>
      <c:valAx>
        <c:axId val="6441249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4122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[SalesPerf_Dash.xlsm]DASHBOARD!PivotTable3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22-4239-8468-28DD94BACB1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22-4239-8468-28DD94BACB1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22-4239-8468-28DD94BACB1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22-4239-8468-28DD94BACB1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B22-4239-8468-28DD94BACB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DASHBOARD!$G$4:$G$8</c:f>
              <c:strCache>
                <c:ptCount val="5"/>
                <c:pt idx="0">
                  <c:v>Anoop Narayan</c:v>
                </c:pt>
                <c:pt idx="1">
                  <c:v>Arvind Sharma</c:v>
                </c:pt>
                <c:pt idx="2">
                  <c:v>Julie S</c:v>
                </c:pt>
                <c:pt idx="3">
                  <c:v>Prasannakumari S</c:v>
                </c:pt>
                <c:pt idx="4">
                  <c:v>Shankar Attendant</c:v>
                </c:pt>
              </c:strCache>
            </c:strRef>
          </c:cat>
          <c:val>
            <c:numRef>
              <c:f>DASHBOARD!$H$4:$H$8</c:f>
              <c:numCache>
                <c:formatCode>0.00%</c:formatCode>
                <c:ptCount val="5"/>
                <c:pt idx="0">
                  <c:v>0.71</c:v>
                </c:pt>
                <c:pt idx="1">
                  <c:v>0.75800000000000001</c:v>
                </c:pt>
                <c:pt idx="2">
                  <c:v>0.748</c:v>
                </c:pt>
                <c:pt idx="3">
                  <c:v>0.68400000000000005</c:v>
                </c:pt>
                <c:pt idx="4">
                  <c:v>0.71399999999999997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22-4239-8468-28DD94BACB1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[SalesPerf_Dash.xlsm]DASHBOARD!PivotTable4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DASHBOARD!$K$3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DASHBOARD!$J$4:$J$8</c:f>
              <c:strCache>
                <c:ptCount val="5"/>
                <c:pt idx="0">
                  <c:v>Azam</c:v>
                </c:pt>
                <c:pt idx="1">
                  <c:v>Heeramani Choudhary</c:v>
                </c:pt>
                <c:pt idx="2">
                  <c:v>Nitin Bhatia</c:v>
                </c:pt>
                <c:pt idx="3">
                  <c:v>Renu Pratap</c:v>
                </c:pt>
                <c:pt idx="4">
                  <c:v>Surendranath Thakur</c:v>
                </c:pt>
              </c:strCache>
            </c:strRef>
          </c:cat>
          <c:val>
            <c:numRef>
              <c:f>DASHBOARD!$K$4:$K$8</c:f>
              <c:numCache>
                <c:formatCode>0.00%</c:formatCode>
                <c:ptCount val="5"/>
                <c:pt idx="0">
                  <c:v>0.55200000000000005</c:v>
                </c:pt>
                <c:pt idx="1">
                  <c:v>0.57200000000000006</c:v>
                </c:pt>
                <c:pt idx="2">
                  <c:v>0.55200000000000005</c:v>
                </c:pt>
                <c:pt idx="3">
                  <c:v>0.58800000000000008</c:v>
                </c:pt>
                <c:pt idx="4">
                  <c:v>0.56200000000000006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D9-4BFC-9F68-7690853C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875456"/>
        <c:axId val="685872504"/>
      </c:lineChart>
      <c:catAx>
        <c:axId val="68587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872504"/>
        <c:crosses val="autoZero"/>
        <c:auto val="1"/>
        <c:lblAlgn val="ctr"/>
        <c:lblOffset val="100"/>
        <c:noMultiLvlLbl val="0"/>
      </c:catAx>
      <c:valAx>
        <c:axId val="685872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87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Region-wise Total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Dashboard_V2!$A$2:$A$9</c:f>
              <c:strCache>
                <c:ptCount val="8"/>
                <c:pt idx="0">
                  <c:v>Region</c:v>
                </c:pt>
                <c:pt idx="1">
                  <c:v>Chennai</c:v>
                </c:pt>
                <c:pt idx="2">
                  <c:v>Delhi</c:v>
                </c:pt>
                <c:pt idx="3">
                  <c:v>Mumbai</c:v>
                </c:pt>
                <c:pt idx="4">
                  <c:v>Nagpur</c:v>
                </c:pt>
                <c:pt idx="5">
                  <c:v>Patna</c:v>
                </c:pt>
                <c:pt idx="6">
                  <c:v>Pune</c:v>
                </c:pt>
                <c:pt idx="7">
                  <c:v>Ranchi</c:v>
                </c:pt>
              </c:strCache>
            </c:strRef>
          </c:cat>
          <c:val>
            <c:numRef>
              <c:f>Dashboard_V2!$B$2:$B$9</c:f>
              <c:numCache>
                <c:formatCode>General</c:formatCode>
                <c:ptCount val="8"/>
                <c:pt idx="0">
                  <c:v>0</c:v>
                </c:pt>
                <c:pt idx="1">
                  <c:v>5063</c:v>
                </c:pt>
                <c:pt idx="2">
                  <c:v>4965</c:v>
                </c:pt>
                <c:pt idx="3">
                  <c:v>5197</c:v>
                </c:pt>
                <c:pt idx="4">
                  <c:v>5248</c:v>
                </c:pt>
                <c:pt idx="5">
                  <c:v>4597</c:v>
                </c:pt>
                <c:pt idx="6">
                  <c:v>5067</c:v>
                </c:pt>
                <c:pt idx="7">
                  <c:v>4296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FA-495D-BE16-C0DA3495AD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0"/>
        <c:axId val="100"/>
      </c:barChart>
      <c:catAx>
        <c:axId val="1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5 Sales Executives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Dashboard_V2!$A$13:$A$17</c:f>
              <c:strCache>
                <c:ptCount val="5"/>
                <c:pt idx="0">
                  <c:v>Sales Executive</c:v>
                </c:pt>
                <c:pt idx="1">
                  <c:v>Jagdish Chandra</c:v>
                </c:pt>
                <c:pt idx="2">
                  <c:v>Rachita Anupam</c:v>
                </c:pt>
                <c:pt idx="3">
                  <c:v>Miny Mole</c:v>
                </c:pt>
                <c:pt idx="4">
                  <c:v>Anikuttan</c:v>
                </c:pt>
              </c:strCache>
            </c:strRef>
          </c:cat>
          <c:val>
            <c:numRef>
              <c:f>Dashboard_V2!$B$13:$B$17</c:f>
              <c:numCache>
                <c:formatCode>General</c:formatCode>
                <c:ptCount val="5"/>
                <c:pt idx="0">
                  <c:v>0</c:v>
                </c:pt>
                <c:pt idx="1">
                  <c:v>389</c:v>
                </c:pt>
                <c:pt idx="2">
                  <c:v>385</c:v>
                </c:pt>
                <c:pt idx="3">
                  <c:v>384</c:v>
                </c:pt>
                <c:pt idx="4">
                  <c:v>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7B-4327-AC85-D92375060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0"/>
        <c:axId val="100"/>
      </c:barChart>
      <c:catAx>
        <c:axId val="1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Day-wise Sales Trend</a:t>
            </a:r>
          </a:p>
        </c:rich>
      </c:tx>
      <c:layout>
        <c:manualLayout>
          <c:xMode val="edge"/>
          <c:yMode val="edge"/>
          <c:x val="0.427724603174603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Dashboard_V2!$A$26:$A$30</c:f>
              <c:strCache>
                <c:ptCount val="5"/>
                <c:pt idx="0">
                  <c:v>Day</c:v>
                </c:pt>
                <c:pt idx="1">
                  <c:v>Day1</c:v>
                </c:pt>
                <c:pt idx="2">
                  <c:v>Day2</c:v>
                </c:pt>
                <c:pt idx="3">
                  <c:v>Day3</c:v>
                </c:pt>
                <c:pt idx="4">
                  <c:v>Day4</c:v>
                </c:pt>
              </c:strCache>
            </c:strRef>
          </c:cat>
          <c:val>
            <c:numRef>
              <c:f>Dashboard_V2!$B$26:$B$30</c:f>
              <c:numCache>
                <c:formatCode>General</c:formatCode>
                <c:ptCount val="5"/>
                <c:pt idx="0">
                  <c:v>0</c:v>
                </c:pt>
                <c:pt idx="1">
                  <c:v>7922</c:v>
                </c:pt>
                <c:pt idx="2">
                  <c:v>7965</c:v>
                </c:pt>
                <c:pt idx="3">
                  <c:v>7383</c:v>
                </c:pt>
                <c:pt idx="4">
                  <c:v>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3-4253-A72B-51BC531EE7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checked="Checked" fmlaLink="$A$1" lockText="1" noThreeD="1"/>
</file>

<file path=xl/ctrlProps/ctrlProp2.xml><?xml version="1.0" encoding="utf-8"?>
<formControlPr xmlns="http://schemas.microsoft.com/office/spreadsheetml/2009/9/main" objectType="CheckBox" checked="Checked" fmlaLink="$D$1" lockText="1" noThreeD="1"/>
</file>

<file path=xl/ctrlProps/ctrlProp3.xml><?xml version="1.0" encoding="utf-8"?>
<formControlPr xmlns="http://schemas.microsoft.com/office/spreadsheetml/2009/9/main" objectType="CheckBox" checked="Checked" fmlaLink="$G$1" lockText="1" noThreeD="1"/>
</file>

<file path=xl/ctrlProps/ctrlProp4.xml><?xml version="1.0" encoding="utf-8"?>
<formControlPr xmlns="http://schemas.microsoft.com/office/spreadsheetml/2009/9/main" objectType="CheckBox" checked="Checked" fmlaLink="$J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18391</xdr:colOff>
      <xdr:row>8</xdr:row>
      <xdr:rowOff>5255</xdr:rowOff>
    </xdr:from>
    <xdr:to>
      <xdr:col>5</xdr:col>
      <xdr:colOff>5254</xdr:colOff>
      <xdr:row>17</xdr:row>
      <xdr:rowOff>110359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10510</xdr:colOff>
      <xdr:row>7</xdr:row>
      <xdr:rowOff>173421</xdr:rowOff>
    </xdr:from>
    <xdr:to>
      <xdr:col>7</xdr:col>
      <xdr:colOff>1066800</xdr:colOff>
      <xdr:row>17</xdr:row>
      <xdr:rowOff>91964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15764</xdr:colOff>
      <xdr:row>8</xdr:row>
      <xdr:rowOff>0</xdr:rowOff>
    </xdr:from>
    <xdr:to>
      <xdr:col>10</xdr:col>
      <xdr:colOff>1571296</xdr:colOff>
      <xdr:row>17</xdr:row>
      <xdr:rowOff>123496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373380</xdr:colOff>
          <xdr:row>1</xdr:row>
          <xdr:rowOff>137160</xdr:rowOff>
        </xdr:from>
        <xdr:to>
          <xdr:col>1</xdr:col>
          <xdr:colOff>99060</xdr:colOff>
          <xdr:row>1</xdr:row>
          <xdr:rowOff>358140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Dashboard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586740</xdr:colOff>
          <xdr:row>1</xdr:row>
          <xdr:rowOff>129540</xdr:rowOff>
        </xdr:from>
        <xdr:to>
          <xdr:col>4</xdr:col>
          <xdr:colOff>335280</xdr:colOff>
          <xdr:row>1</xdr:row>
          <xdr:rowOff>350520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Dashboard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693420</xdr:colOff>
          <xdr:row>1</xdr:row>
          <xdr:rowOff>137160</xdr:rowOff>
        </xdr:from>
        <xdr:to>
          <xdr:col>7</xdr:col>
          <xdr:colOff>617220</xdr:colOff>
          <xdr:row>1</xdr:row>
          <xdr:rowOff>358140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Dashboard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1</xdr:row>
          <xdr:rowOff>137160</xdr:rowOff>
        </xdr:from>
        <xdr:to>
          <xdr:col>10</xdr:col>
          <xdr:colOff>624840</xdr:colOff>
          <xdr:row>1</xdr:row>
          <xdr:rowOff>358140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Dashboard 4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04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221226</xdr:colOff>
      <xdr:row>0</xdr:row>
      <xdr:rowOff>57355</xdr:rowOff>
    </xdr:from>
    <xdr:ext cx="504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</xdr:col>
      <xdr:colOff>606321</xdr:colOff>
      <xdr:row>15</xdr:row>
      <xdr:rowOff>65548</xdr:rowOff>
    </xdr:from>
    <xdr:ext cx="6915355" cy="1737033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G142/AppData/Local/Microsoft/Windows/INetCache/IE/0L8PXD7B/Updated_Dashboard%5b1%5d.xlsm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711.301322222222" createdVersion="6" refreshedVersion="6" minRefreshableVersion="3" recordCount="141" xr:uid="{00000000-000A-0000-FFFF-FFFF00000000}">
  <cacheSource type="worksheet">
    <worksheetSource ref="A1:L142" sheet=".xlsm].xlsm]RAW DATA" r:id="rId2"/>
  </cacheSource>
  <cacheFields count="12">
    <cacheField name="Emp Code" numFmtId="14">
      <sharedItems/>
    </cacheField>
    <cacheField name="Sales Executive" numFmtId="0">
      <sharedItems count="141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</sharedItems>
    </cacheField>
    <cacheField name="Region" numFmtId="0">
      <sharedItems count="8">
        <s v="Mumbai"/>
        <s v="Delhi"/>
        <s v="Nagpur"/>
        <s v="Chennai"/>
        <s v="Pune"/>
        <s v="Patna"/>
        <s v="Ranchi"/>
        <s v="Surat"/>
      </sharedItems>
    </cacheField>
    <cacheField name="Day1" numFmtId="0">
      <sharedItems containsSemiMixedTypes="0" containsString="0" containsNumber="1" containsInteger="1" minValue="10" maxValue="99"/>
    </cacheField>
    <cacheField name="Day2" numFmtId="0">
      <sharedItems containsSemiMixedTypes="0" containsString="0" containsNumber="1" containsInteger="1" minValue="11" maxValue="99"/>
    </cacheField>
    <cacheField name="Day3" numFmtId="0">
      <sharedItems containsSemiMixedTypes="0" containsString="0" containsNumber="1" containsInteger="1" minValue="10" maxValue="99"/>
    </cacheField>
    <cacheField name="Day4" numFmtId="0">
      <sharedItems containsSemiMixedTypes="0" containsString="0" containsNumber="1" containsInteger="1" minValue="11" maxValue="99"/>
    </cacheField>
    <cacheField name="Day5" numFmtId="0">
      <sharedItems containsSemiMixedTypes="0" containsString="0" containsNumber="1" containsInteger="1" minValue="10" maxValue="99"/>
    </cacheField>
    <cacheField name="Total Sales" numFmtId="0">
      <sharedItems containsSemiMixedTypes="0" containsString="0" containsNumber="1" containsInteger="1" minValue="143" maxValue="389"/>
    </cacheField>
    <cacheField name="Target" numFmtId="0">
      <sharedItems containsSemiMixedTypes="0" containsString="0" containsNumber="1" containsInteger="1" minValue="500" maxValue="500"/>
    </cacheField>
    <cacheField name="Target Hit %" numFmtId="10">
      <sharedItems containsSemiMixedTypes="0" containsString="0" containsNumber="1" minValue="0.28599999999999998" maxValue="0.77800000000000002"/>
    </cacheField>
    <cacheField name="Away From Target %" numFmtId="10">
      <sharedItems containsSemiMixedTypes="0" containsString="0" containsNumber="1" minValue="0.222" maxValue="0.71399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41">
  <r>
    <s v="Mum-TCL001"/>
    <x v="0"/>
    <x v="0"/>
    <n v="49"/>
    <n v="84"/>
    <n v="98"/>
    <n v="67"/>
    <n v="41"/>
    <n v="339"/>
    <n v="500"/>
    <n v="0.678"/>
    <n v="0.322"/>
  </r>
  <r>
    <s v="Mum-TCL002"/>
    <x v="1"/>
    <x v="1"/>
    <n v="44"/>
    <n v="85"/>
    <n v="47"/>
    <n v="15"/>
    <n v="48"/>
    <n v="239"/>
    <n v="500"/>
    <n v="0.478"/>
    <n v="0.522"/>
  </r>
  <r>
    <s v="Mum-TCL003"/>
    <x v="2"/>
    <x v="2"/>
    <n v="45"/>
    <n v="79"/>
    <n v="88"/>
    <n v="73"/>
    <n v="94"/>
    <n v="379"/>
    <n v="500"/>
    <n v="0.758"/>
    <n v="0.242"/>
  </r>
  <r>
    <s v="Mum-TCL004"/>
    <x v="3"/>
    <x v="3"/>
    <n v="52"/>
    <n v="99"/>
    <n v="13"/>
    <n v="95"/>
    <n v="29"/>
    <n v="288"/>
    <n v="500"/>
    <n v="0.576"/>
    <n v="0.424"/>
  </r>
  <r>
    <s v="Mum-TCL005"/>
    <x v="4"/>
    <x v="4"/>
    <n v="35"/>
    <n v="54"/>
    <n v="49"/>
    <n v="26"/>
    <n v="49"/>
    <n v="213"/>
    <n v="500"/>
    <n v="0.426"/>
    <n v="0.5740000000000001"/>
  </r>
  <r>
    <s v="Mum-TCL006"/>
    <x v="5"/>
    <x v="5"/>
    <n v="86"/>
    <n v="31"/>
    <n v="23"/>
    <n v="48"/>
    <n v="77"/>
    <n v="265"/>
    <n v="500"/>
    <n v="0.53"/>
    <n v="0.47"/>
  </r>
  <r>
    <s v="Mum-TCL007"/>
    <x v="6"/>
    <x v="6"/>
    <n v="84"/>
    <n v="28"/>
    <n v="98"/>
    <n v="80"/>
    <n v="79"/>
    <n v="369"/>
    <n v="500"/>
    <n v="0.738"/>
    <n v="0.262"/>
  </r>
  <r>
    <s v="Mum-TCL008"/>
    <x v="7"/>
    <x v="7"/>
    <n v="73"/>
    <n v="97"/>
    <n v="38"/>
    <n v="24"/>
    <n v="53"/>
    <n v="285"/>
    <n v="500"/>
    <n v="0.57"/>
    <n v="0.43"/>
  </r>
  <r>
    <s v="Mum-TCL009"/>
    <x v="8"/>
    <x v="0"/>
    <n v="54"/>
    <n v="26"/>
    <n v="53"/>
    <n v="36"/>
    <n v="20"/>
    <n v="189"/>
    <n v="500"/>
    <n v="0.378"/>
    <n v="0.622"/>
  </r>
  <r>
    <s v="Mum-TCL010"/>
    <x v="9"/>
    <x v="1"/>
    <n v="52"/>
    <n v="52"/>
    <n v="19"/>
    <n v="53"/>
    <n v="37"/>
    <n v="213"/>
    <n v="500"/>
    <n v="0.426"/>
    <n v="0.5740000000000001"/>
  </r>
  <r>
    <s v="Mum-TCL011"/>
    <x v="10"/>
    <x v="2"/>
    <n v="63"/>
    <n v="17"/>
    <n v="40"/>
    <n v="48"/>
    <n v="51"/>
    <n v="219"/>
    <n v="500"/>
    <n v="0.438"/>
    <n v="0.5620000000000001"/>
  </r>
  <r>
    <s v="Mum-TCL012"/>
    <x v="11"/>
    <x v="3"/>
    <n v="79"/>
    <n v="99"/>
    <n v="95"/>
    <n v="12"/>
    <n v="91"/>
    <n v="376"/>
    <n v="500"/>
    <n v="0.752"/>
    <n v="0.248"/>
  </r>
  <r>
    <s v="Mum-TCL013"/>
    <x v="12"/>
    <x v="4"/>
    <n v="95"/>
    <n v="88"/>
    <n v="11"/>
    <n v="78"/>
    <n v="60"/>
    <n v="332"/>
    <n v="500"/>
    <n v="0.664"/>
    <n v="0.336"/>
  </r>
  <r>
    <s v="Mum-TCL014"/>
    <x v="13"/>
    <x v="5"/>
    <n v="83"/>
    <n v="77"/>
    <n v="66"/>
    <n v="22"/>
    <n v="40"/>
    <n v="288"/>
    <n v="500"/>
    <n v="0.576"/>
    <n v="0.424"/>
  </r>
  <r>
    <s v="Mum-TCL015"/>
    <x v="14"/>
    <x v="6"/>
    <n v="78"/>
    <n v="58"/>
    <n v="34"/>
    <n v="84"/>
    <n v="31"/>
    <n v="285"/>
    <n v="500"/>
    <n v="0.57"/>
    <n v="0.43"/>
  </r>
  <r>
    <s v="Mum-TCL016"/>
    <x v="15"/>
    <x v="7"/>
    <n v="14"/>
    <n v="25"/>
    <n v="45"/>
    <n v="70"/>
    <n v="45"/>
    <n v="199"/>
    <n v="500"/>
    <n v="0.398"/>
    <n v="0.602"/>
  </r>
  <r>
    <s v="Mum-TCL017"/>
    <x v="16"/>
    <x v="0"/>
    <n v="37"/>
    <n v="69"/>
    <n v="96"/>
    <n v="66"/>
    <n v="38"/>
    <n v="306"/>
    <n v="500"/>
    <n v="0.612"/>
    <n v="0.388"/>
  </r>
  <r>
    <s v="Mum-TCL018"/>
    <x v="17"/>
    <x v="1"/>
    <n v="11"/>
    <n v="46"/>
    <n v="91"/>
    <n v="98"/>
    <n v="45"/>
    <n v="291"/>
    <n v="500"/>
    <n v="0.582"/>
    <n v="0.418"/>
  </r>
  <r>
    <s v="Mum-TCL019"/>
    <x v="18"/>
    <x v="2"/>
    <n v="19"/>
    <n v="34"/>
    <n v="64"/>
    <n v="65"/>
    <n v="70"/>
    <n v="252"/>
    <n v="500"/>
    <n v="0.504"/>
    <n v="0.496"/>
  </r>
  <r>
    <s v="Mum-TCL020"/>
    <x v="19"/>
    <x v="3"/>
    <n v="93"/>
    <n v="84"/>
    <n v="13"/>
    <n v="45"/>
    <n v="18"/>
    <n v="253"/>
    <n v="500"/>
    <n v="0.506"/>
    <n v="0.494"/>
  </r>
  <r>
    <s v="Mum-TCL021"/>
    <x v="20"/>
    <x v="4"/>
    <n v="68"/>
    <n v="73"/>
    <n v="97"/>
    <n v="76"/>
    <n v="53"/>
    <n v="367"/>
    <n v="500"/>
    <n v="0.734"/>
    <n v="0.266"/>
  </r>
  <r>
    <s v="Mum-TCL022"/>
    <x v="21"/>
    <x v="5"/>
    <n v="99"/>
    <n v="17"/>
    <n v="48"/>
    <n v="44"/>
    <n v="93"/>
    <n v="301"/>
    <n v="500"/>
    <n v="0.602"/>
    <n v="0.398"/>
  </r>
  <r>
    <s v="Mum-TCL023"/>
    <x v="22"/>
    <x v="6"/>
    <n v="57"/>
    <n v="28"/>
    <n v="31"/>
    <n v="34"/>
    <n v="52"/>
    <n v="202"/>
    <n v="500"/>
    <n v="0.404"/>
    <n v="0.596"/>
  </r>
  <r>
    <s v="Mum-TCL024"/>
    <x v="23"/>
    <x v="7"/>
    <n v="40"/>
    <n v="22"/>
    <n v="18"/>
    <n v="11"/>
    <n v="92"/>
    <n v="183"/>
    <n v="500"/>
    <n v="0.366"/>
    <n v="0.634"/>
  </r>
  <r>
    <s v="Mum-TCL025"/>
    <x v="24"/>
    <x v="0"/>
    <n v="47"/>
    <n v="99"/>
    <n v="94"/>
    <n v="75"/>
    <n v="29"/>
    <n v="344"/>
    <n v="500"/>
    <n v="0.6879999999999999"/>
    <n v="0.3120000000000001"/>
  </r>
  <r>
    <s v="Mum-TCL026"/>
    <x v="25"/>
    <x v="1"/>
    <n v="16"/>
    <n v="71"/>
    <n v="80"/>
    <n v="76"/>
    <n v="33"/>
    <n v="276"/>
    <n v="500"/>
    <n v="0.552"/>
    <n v="0.448"/>
  </r>
  <r>
    <s v="Mum-TCL027"/>
    <x v="26"/>
    <x v="2"/>
    <n v="72"/>
    <n v="87"/>
    <n v="92"/>
    <n v="72"/>
    <n v="34"/>
    <n v="357"/>
    <n v="500"/>
    <n v="0.714"/>
    <n v="0.286"/>
  </r>
  <r>
    <s v="Mum-TCL028"/>
    <x v="27"/>
    <x v="3"/>
    <n v="30"/>
    <n v="38"/>
    <n v="70"/>
    <n v="89"/>
    <n v="97"/>
    <n v="324"/>
    <n v="500"/>
    <n v="0.648"/>
    <n v="0.352"/>
  </r>
  <r>
    <s v="Mum-TCL029"/>
    <x v="28"/>
    <x v="4"/>
    <n v="65"/>
    <n v="90"/>
    <n v="91"/>
    <n v="85"/>
    <n v="10"/>
    <n v="341"/>
    <n v="500"/>
    <n v="0.6820000000000001"/>
    <n v="0.3179999999999999"/>
  </r>
  <r>
    <s v="Mum-TCL030"/>
    <x v="29"/>
    <x v="5"/>
    <n v="83"/>
    <n v="46"/>
    <n v="99"/>
    <n v="36"/>
    <n v="89"/>
    <n v="353"/>
    <n v="500"/>
    <n v="0.706"/>
    <n v="0.294"/>
  </r>
  <r>
    <s v="Mum-TCL031"/>
    <x v="30"/>
    <x v="6"/>
    <n v="10"/>
    <n v="66"/>
    <n v="40"/>
    <n v="22"/>
    <n v="38"/>
    <n v="176"/>
    <n v="500"/>
    <n v="0.352"/>
    <n v="0.648"/>
  </r>
  <r>
    <s v="Mum-TCL032"/>
    <x v="31"/>
    <x v="7"/>
    <n v="37"/>
    <n v="30"/>
    <n v="19"/>
    <n v="77"/>
    <n v="67"/>
    <n v="230"/>
    <n v="500"/>
    <n v="0.46"/>
    <n v="0.54"/>
  </r>
  <r>
    <s v="Mum-TCL033"/>
    <x v="32"/>
    <x v="0"/>
    <n v="83"/>
    <n v="46"/>
    <n v="17"/>
    <n v="94"/>
    <n v="92"/>
    <n v="332"/>
    <n v="500"/>
    <n v="0.664"/>
    <n v="0.336"/>
  </r>
  <r>
    <s v="Mum-TCL034"/>
    <x v="33"/>
    <x v="1"/>
    <n v="84"/>
    <n v="59"/>
    <n v="41"/>
    <n v="17"/>
    <n v="22"/>
    <n v="223"/>
    <n v="500"/>
    <n v="0.446"/>
    <n v="0.554"/>
  </r>
  <r>
    <s v="Mum-TCL035"/>
    <x v="34"/>
    <x v="2"/>
    <n v="82"/>
    <n v="54"/>
    <n v="79"/>
    <n v="61"/>
    <n v="47"/>
    <n v="323"/>
    <n v="500"/>
    <n v="0.646"/>
    <n v="0.354"/>
  </r>
  <r>
    <s v="Mum-TCL036"/>
    <x v="35"/>
    <x v="3"/>
    <n v="47"/>
    <n v="23"/>
    <n v="19"/>
    <n v="64"/>
    <n v="61"/>
    <n v="214"/>
    <n v="500"/>
    <n v="0.428"/>
    <n v="0.5720000000000001"/>
  </r>
  <r>
    <s v="Mum-TCL037"/>
    <x v="36"/>
    <x v="4"/>
    <n v="91"/>
    <n v="13"/>
    <n v="79"/>
    <n v="85"/>
    <n v="67"/>
    <n v="335"/>
    <n v="500"/>
    <n v="0.67"/>
    <n v="0.33"/>
  </r>
  <r>
    <s v="Mum-TCL038"/>
    <x v="37"/>
    <x v="5"/>
    <n v="66"/>
    <n v="59"/>
    <n v="25"/>
    <n v="55"/>
    <n v="59"/>
    <n v="264"/>
    <n v="500"/>
    <n v="0.528"/>
    <n v="0.472"/>
  </r>
  <r>
    <s v="Mum-TCL039"/>
    <x v="38"/>
    <x v="6"/>
    <n v="70"/>
    <n v="18"/>
    <n v="88"/>
    <n v="46"/>
    <n v="52"/>
    <n v="274"/>
    <n v="500"/>
    <n v="0.548"/>
    <n v="0.452"/>
  </r>
  <r>
    <s v="Mum-TCL040"/>
    <x v="39"/>
    <x v="7"/>
    <n v="37"/>
    <n v="60"/>
    <n v="44"/>
    <n v="61"/>
    <n v="30"/>
    <n v="232"/>
    <n v="500"/>
    <n v="0.464"/>
    <n v="0.536"/>
  </r>
  <r>
    <s v="Mum-TCL041"/>
    <x v="40"/>
    <x v="0"/>
    <n v="16"/>
    <n v="46"/>
    <n v="33"/>
    <n v="54"/>
    <n v="58"/>
    <n v="207"/>
    <n v="500"/>
    <n v="0.414"/>
    <n v="0.5860000000000001"/>
  </r>
  <r>
    <s v="Mum-TCL042"/>
    <x v="41"/>
    <x v="1"/>
    <n v="47"/>
    <n v="97"/>
    <n v="74"/>
    <n v="97"/>
    <n v="56"/>
    <n v="371"/>
    <n v="500"/>
    <n v="0.742"/>
    <n v="0.258"/>
  </r>
  <r>
    <s v="Mum-TCL043"/>
    <x v="42"/>
    <x v="2"/>
    <n v="86"/>
    <n v="22"/>
    <n v="10"/>
    <n v="60"/>
    <n v="28"/>
    <n v="206"/>
    <n v="500"/>
    <n v="0.412"/>
    <n v="0.5880000000000001"/>
  </r>
  <r>
    <s v="Mum-TCL044"/>
    <x v="43"/>
    <x v="3"/>
    <n v="74"/>
    <n v="17"/>
    <n v="45"/>
    <n v="64"/>
    <n v="13"/>
    <n v="213"/>
    <n v="500"/>
    <n v="0.426"/>
    <n v="0.5740000000000001"/>
  </r>
  <r>
    <s v="Mum-TCL045"/>
    <x v="44"/>
    <x v="4"/>
    <n v="80"/>
    <n v="51"/>
    <n v="15"/>
    <n v="97"/>
    <n v="42"/>
    <n v="285"/>
    <n v="500"/>
    <n v="0.57"/>
    <n v="0.43"/>
  </r>
  <r>
    <s v="Mum-TCL046"/>
    <x v="45"/>
    <x v="5"/>
    <n v="49"/>
    <n v="82"/>
    <n v="95"/>
    <n v="46"/>
    <n v="78"/>
    <n v="350"/>
    <n v="500"/>
    <n v="0.7"/>
    <n v="0.3"/>
  </r>
  <r>
    <s v="Mum-TCL047"/>
    <x v="46"/>
    <x v="6"/>
    <n v="17"/>
    <n v="88"/>
    <n v="12"/>
    <n v="54"/>
    <n v="21"/>
    <n v="192"/>
    <n v="500"/>
    <n v="0.384"/>
    <n v="0.616"/>
  </r>
  <r>
    <s v="Mum-TCL048"/>
    <x v="47"/>
    <x v="7"/>
    <n v="74"/>
    <n v="16"/>
    <n v="74"/>
    <n v="36"/>
    <n v="33"/>
    <n v="233"/>
    <n v="500"/>
    <n v="0.466"/>
    <n v="0.534"/>
  </r>
  <r>
    <s v="Mum-TCL049"/>
    <x v="48"/>
    <x v="0"/>
    <n v="73"/>
    <n v="72"/>
    <n v="38"/>
    <n v="19"/>
    <n v="90"/>
    <n v="292"/>
    <n v="500"/>
    <n v="0.584"/>
    <n v="0.416"/>
  </r>
  <r>
    <s v="Mum-TCL050"/>
    <x v="49"/>
    <x v="1"/>
    <n v="17"/>
    <n v="84"/>
    <n v="90"/>
    <n v="77"/>
    <n v="72"/>
    <n v="340"/>
    <n v="500"/>
    <n v="0.68"/>
    <n v="0.32"/>
  </r>
  <r>
    <s v="Mum-TCL051"/>
    <x v="50"/>
    <x v="2"/>
    <n v="52"/>
    <n v="36"/>
    <n v="84"/>
    <n v="41"/>
    <n v="57"/>
    <n v="270"/>
    <n v="500"/>
    <n v="0.54"/>
    <n v="0.46"/>
  </r>
  <r>
    <s v="Mum-TCL052"/>
    <x v="51"/>
    <x v="3"/>
    <n v="65"/>
    <n v="67"/>
    <n v="72"/>
    <n v="22"/>
    <n v="23"/>
    <n v="249"/>
    <n v="500"/>
    <n v="0.498"/>
    <n v="0.502"/>
  </r>
  <r>
    <s v="Mum-TCL053"/>
    <x v="52"/>
    <x v="4"/>
    <n v="88"/>
    <n v="39"/>
    <n v="25"/>
    <n v="99"/>
    <n v="71"/>
    <n v="322"/>
    <n v="500"/>
    <n v="0.644"/>
    <n v="0.356"/>
  </r>
  <r>
    <s v="Mum-TCL054"/>
    <x v="53"/>
    <x v="5"/>
    <n v="23"/>
    <n v="14"/>
    <n v="15"/>
    <n v="58"/>
    <n v="79"/>
    <n v="189"/>
    <n v="500"/>
    <n v="0.378"/>
    <n v="0.622"/>
  </r>
  <r>
    <s v="Mum-TCL055"/>
    <x v="54"/>
    <x v="6"/>
    <n v="15"/>
    <n v="67"/>
    <n v="48"/>
    <n v="95"/>
    <n v="35"/>
    <n v="260"/>
    <n v="500"/>
    <n v="0.52"/>
    <n v="0.48"/>
  </r>
  <r>
    <s v="Mum-TCL056"/>
    <x v="55"/>
    <x v="7"/>
    <n v="18"/>
    <n v="35"/>
    <n v="82"/>
    <n v="31"/>
    <n v="26"/>
    <n v="192"/>
    <n v="500"/>
    <n v="0.384"/>
    <n v="0.616"/>
  </r>
  <r>
    <s v="Mum-TCL057"/>
    <x v="56"/>
    <x v="0"/>
    <n v="57"/>
    <n v="60"/>
    <n v="42"/>
    <n v="81"/>
    <n v="44"/>
    <n v="284"/>
    <n v="500"/>
    <n v="0.5679999999999999"/>
    <n v="0.4320000000000001"/>
  </r>
  <r>
    <s v="Mum-TCL058"/>
    <x v="57"/>
    <x v="1"/>
    <n v="34"/>
    <n v="97"/>
    <n v="66"/>
    <n v="45"/>
    <n v="50"/>
    <n v="292"/>
    <n v="500"/>
    <n v="0.584"/>
    <n v="0.416"/>
  </r>
  <r>
    <s v="Mum-TCL059"/>
    <x v="58"/>
    <x v="2"/>
    <n v="83"/>
    <n v="12"/>
    <n v="70"/>
    <n v="83"/>
    <n v="52"/>
    <n v="300"/>
    <n v="500"/>
    <n v="0.6"/>
    <n v="0.4"/>
  </r>
  <r>
    <s v="Mum-TCL060"/>
    <x v="59"/>
    <x v="3"/>
    <n v="76"/>
    <n v="55"/>
    <n v="56"/>
    <n v="16"/>
    <n v="61"/>
    <n v="264"/>
    <n v="500"/>
    <n v="0.528"/>
    <n v="0.472"/>
  </r>
  <r>
    <s v="Mum-TCL061"/>
    <x v="60"/>
    <x v="4"/>
    <n v="40"/>
    <n v="70"/>
    <n v="19"/>
    <n v="36"/>
    <n v="52"/>
    <n v="217"/>
    <n v="500"/>
    <n v="0.434"/>
    <n v="0.5660000000000001"/>
  </r>
  <r>
    <s v="Mum-TCL062"/>
    <x v="61"/>
    <x v="5"/>
    <n v="44"/>
    <n v="60"/>
    <n v="71"/>
    <n v="34"/>
    <n v="37"/>
    <n v="246"/>
    <n v="500"/>
    <n v="0.492"/>
    <n v="0.508"/>
  </r>
  <r>
    <s v="Mum-TCL063"/>
    <x v="62"/>
    <x v="6"/>
    <n v="43"/>
    <n v="78"/>
    <n v="15"/>
    <n v="98"/>
    <n v="33"/>
    <n v="267"/>
    <n v="500"/>
    <n v="0.534"/>
    <n v="0.466"/>
  </r>
  <r>
    <s v="Mum-TCL064"/>
    <x v="63"/>
    <x v="7"/>
    <n v="75"/>
    <n v="75"/>
    <n v="89"/>
    <n v="97"/>
    <n v="49"/>
    <n v="385"/>
    <n v="500"/>
    <n v="0.77"/>
    <n v="0.23"/>
  </r>
  <r>
    <s v="Mum-TCL065"/>
    <x v="64"/>
    <x v="0"/>
    <n v="74"/>
    <n v="51"/>
    <n v="97"/>
    <n v="73"/>
    <n v="33"/>
    <n v="328"/>
    <n v="500"/>
    <n v="0.656"/>
    <n v="0.344"/>
  </r>
  <r>
    <s v="Mum-TCL066"/>
    <x v="65"/>
    <x v="1"/>
    <n v="44"/>
    <n v="36"/>
    <n v="11"/>
    <n v="45"/>
    <n v="30"/>
    <n v="166"/>
    <n v="500"/>
    <n v="0.332"/>
    <n v="0.6679999999999999"/>
  </r>
  <r>
    <s v="Mum-TCL067"/>
    <x v="66"/>
    <x v="2"/>
    <n v="87"/>
    <n v="79"/>
    <n v="46"/>
    <n v="65"/>
    <n v="65"/>
    <n v="342"/>
    <n v="500"/>
    <n v="0.6840000000000001"/>
    <n v="0.3159999999999999"/>
  </r>
  <r>
    <s v="Mum-TCL068"/>
    <x v="67"/>
    <x v="3"/>
    <n v="70"/>
    <n v="52"/>
    <n v="80"/>
    <n v="43"/>
    <n v="48"/>
    <n v="293"/>
    <n v="500"/>
    <n v="0.586"/>
    <n v="0.414"/>
  </r>
  <r>
    <s v="Mum-TCL069"/>
    <x v="68"/>
    <x v="4"/>
    <n v="45"/>
    <n v="26"/>
    <n v="27"/>
    <n v="14"/>
    <n v="59"/>
    <n v="171"/>
    <n v="500"/>
    <n v="0.342"/>
    <n v="0.6579999999999999"/>
  </r>
  <r>
    <s v="Mum-TCL070"/>
    <x v="69"/>
    <x v="5"/>
    <n v="51"/>
    <n v="26"/>
    <n v="58"/>
    <n v="83"/>
    <n v="11"/>
    <n v="229"/>
    <n v="500"/>
    <n v="0.458"/>
    <n v="0.542"/>
  </r>
  <r>
    <s v="Mum-TCL071"/>
    <x v="70"/>
    <x v="6"/>
    <n v="68"/>
    <n v="36"/>
    <n v="15"/>
    <n v="20"/>
    <n v="17"/>
    <n v="156"/>
    <n v="500"/>
    <n v="0.312"/>
    <n v="0.6879999999999999"/>
  </r>
  <r>
    <s v="Mum-TCL072"/>
    <x v="71"/>
    <x v="7"/>
    <n v="32"/>
    <n v="74"/>
    <n v="18"/>
    <n v="33"/>
    <n v="51"/>
    <n v="208"/>
    <n v="500"/>
    <n v="0.416"/>
    <n v="0.5840000000000001"/>
  </r>
  <r>
    <s v="Mum-TCL073"/>
    <x v="72"/>
    <x v="0"/>
    <n v="41"/>
    <n v="11"/>
    <n v="46"/>
    <n v="35"/>
    <n v="10"/>
    <n v="143"/>
    <n v="500"/>
    <n v="0.286"/>
    <n v="0.714"/>
  </r>
  <r>
    <s v="Mum-TCL074"/>
    <x v="73"/>
    <x v="1"/>
    <n v="41"/>
    <n v="17"/>
    <n v="82"/>
    <n v="75"/>
    <n v="39"/>
    <n v="254"/>
    <n v="500"/>
    <n v="0.508"/>
    <n v="0.492"/>
  </r>
  <r>
    <s v="Mum-TCL075"/>
    <x v="74"/>
    <x v="2"/>
    <n v="12"/>
    <n v="97"/>
    <n v="45"/>
    <n v="29"/>
    <n v="41"/>
    <n v="224"/>
    <n v="500"/>
    <n v="0.448"/>
    <n v="0.552"/>
  </r>
  <r>
    <s v="Mum-TCL076"/>
    <x v="75"/>
    <x v="3"/>
    <n v="19"/>
    <n v="72"/>
    <n v="87"/>
    <n v="82"/>
    <n v="27"/>
    <n v="287"/>
    <n v="500"/>
    <n v="0.574"/>
    <n v="0.426"/>
  </r>
  <r>
    <s v="Mum-TCL077"/>
    <x v="76"/>
    <x v="4"/>
    <n v="98"/>
    <n v="15"/>
    <n v="72"/>
    <n v="67"/>
    <n v="34"/>
    <n v="286"/>
    <n v="500"/>
    <n v="0.572"/>
    <n v="0.428"/>
  </r>
  <r>
    <s v="Mum-TCL078"/>
    <x v="77"/>
    <x v="5"/>
    <n v="50"/>
    <n v="44"/>
    <n v="46"/>
    <n v="13"/>
    <n v="92"/>
    <n v="245"/>
    <n v="500"/>
    <n v="0.49"/>
    <n v="0.51"/>
  </r>
  <r>
    <s v="Mum-TCL079"/>
    <x v="78"/>
    <x v="6"/>
    <n v="40"/>
    <n v="82"/>
    <n v="72"/>
    <n v="42"/>
    <n v="45"/>
    <n v="281"/>
    <n v="500"/>
    <n v="0.5620000000000001"/>
    <n v="0.4379999999999999"/>
  </r>
  <r>
    <s v="Mum-TCL080"/>
    <x v="79"/>
    <x v="7"/>
    <n v="23"/>
    <n v="83"/>
    <n v="63"/>
    <n v="65"/>
    <n v="83"/>
    <n v="317"/>
    <n v="500"/>
    <n v="0.634"/>
    <n v="0.366"/>
  </r>
  <r>
    <s v="Mum-TCL081"/>
    <x v="80"/>
    <x v="0"/>
    <n v="71"/>
    <n v="94"/>
    <n v="45"/>
    <n v="95"/>
    <n v="46"/>
    <n v="351"/>
    <n v="500"/>
    <n v="0.702"/>
    <n v="0.298"/>
  </r>
  <r>
    <s v="Mum-TCL082"/>
    <x v="81"/>
    <x v="1"/>
    <n v="48"/>
    <n v="49"/>
    <n v="68"/>
    <n v="23"/>
    <n v="21"/>
    <n v="209"/>
    <n v="500"/>
    <n v="0.418"/>
    <n v="0.5820000000000001"/>
  </r>
  <r>
    <s v="Mum-TCL083"/>
    <x v="82"/>
    <x v="2"/>
    <n v="77"/>
    <n v="83"/>
    <n v="64"/>
    <n v="53"/>
    <n v="13"/>
    <n v="290"/>
    <n v="500"/>
    <n v="0.58"/>
    <n v="0.42"/>
  </r>
  <r>
    <s v="Mum-TCL084"/>
    <x v="83"/>
    <x v="3"/>
    <n v="81"/>
    <n v="63"/>
    <n v="88"/>
    <n v="89"/>
    <n v="63"/>
    <n v="384"/>
    <n v="500"/>
    <n v="0.768"/>
    <n v="0.232"/>
  </r>
  <r>
    <s v="Mum-TCL085"/>
    <x v="84"/>
    <x v="4"/>
    <n v="39"/>
    <n v="87"/>
    <n v="62"/>
    <n v="80"/>
    <n v="81"/>
    <n v="349"/>
    <n v="500"/>
    <n v="0.698"/>
    <n v="0.302"/>
  </r>
  <r>
    <s v="Mum-TCL086"/>
    <x v="85"/>
    <x v="5"/>
    <n v="46"/>
    <n v="19"/>
    <n v="59"/>
    <n v="58"/>
    <n v="33"/>
    <n v="215"/>
    <n v="500"/>
    <n v="0.43"/>
    <n v="0.5700000000000001"/>
  </r>
  <r>
    <s v="Mum-TCL087"/>
    <x v="86"/>
    <x v="6"/>
    <n v="34"/>
    <n v="15"/>
    <n v="43"/>
    <n v="63"/>
    <n v="54"/>
    <n v="209"/>
    <n v="500"/>
    <n v="0.418"/>
    <n v="0.5820000000000001"/>
  </r>
  <r>
    <s v="Mum-TCL088"/>
    <x v="87"/>
    <x v="7"/>
    <n v="32"/>
    <n v="79"/>
    <n v="65"/>
    <n v="57"/>
    <n v="73"/>
    <n v="306"/>
    <n v="500"/>
    <n v="0.612"/>
    <n v="0.388"/>
  </r>
  <r>
    <s v="Mum-TCL089"/>
    <x v="88"/>
    <x v="0"/>
    <n v="72"/>
    <n v="82"/>
    <n v="58"/>
    <n v="36"/>
    <n v="33"/>
    <n v="281"/>
    <n v="500"/>
    <n v="0.5620000000000001"/>
    <n v="0.4379999999999999"/>
  </r>
  <r>
    <s v="Mum-TCL090"/>
    <x v="89"/>
    <x v="1"/>
    <n v="11"/>
    <n v="69"/>
    <n v="49"/>
    <n v="90"/>
    <n v="99"/>
    <n v="318"/>
    <n v="500"/>
    <n v="0.636"/>
    <n v="0.364"/>
  </r>
  <r>
    <s v="Mum-TCL091"/>
    <x v="90"/>
    <x v="2"/>
    <n v="80"/>
    <n v="73"/>
    <n v="21"/>
    <n v="72"/>
    <n v="54"/>
    <n v="300"/>
    <n v="500"/>
    <n v="0.6"/>
    <n v="0.4"/>
  </r>
  <r>
    <s v="Mum-TCL092"/>
    <x v="91"/>
    <x v="3"/>
    <n v="93"/>
    <n v="42"/>
    <n v="38"/>
    <n v="98"/>
    <n v="10"/>
    <n v="281"/>
    <n v="500"/>
    <n v="0.5620000000000001"/>
    <n v="0.4379999999999999"/>
  </r>
  <r>
    <s v="Mum-TCL093"/>
    <x v="92"/>
    <x v="4"/>
    <n v="18"/>
    <n v="80"/>
    <n v="20"/>
    <n v="32"/>
    <n v="95"/>
    <n v="245"/>
    <n v="500"/>
    <n v="0.49"/>
    <n v="0.51"/>
  </r>
  <r>
    <s v="Mum-TCL094"/>
    <x v="93"/>
    <x v="5"/>
    <n v="96"/>
    <n v="14"/>
    <n v="20"/>
    <n v="31"/>
    <n v="44"/>
    <n v="205"/>
    <n v="500"/>
    <n v="0.41"/>
    <n v="0.5900000000000001"/>
  </r>
  <r>
    <s v="Mum-TCL095"/>
    <x v="94"/>
    <x v="6"/>
    <n v="37"/>
    <n v="60"/>
    <n v="50"/>
    <n v="68"/>
    <n v="19"/>
    <n v="234"/>
    <n v="500"/>
    <n v="0.468"/>
    <n v="0.532"/>
  </r>
  <r>
    <s v="Mum-TCL096"/>
    <x v="95"/>
    <x v="7"/>
    <n v="35"/>
    <n v="79"/>
    <n v="17"/>
    <n v="85"/>
    <n v="16"/>
    <n v="232"/>
    <n v="500"/>
    <n v="0.464"/>
    <n v="0.536"/>
  </r>
  <r>
    <s v="Mum-TCL097"/>
    <x v="96"/>
    <x v="0"/>
    <n v="31"/>
    <n v="48"/>
    <n v="56"/>
    <n v="85"/>
    <n v="25"/>
    <n v="245"/>
    <n v="500"/>
    <n v="0.49"/>
    <n v="0.51"/>
  </r>
  <r>
    <s v="Mum-TCL098"/>
    <x v="97"/>
    <x v="1"/>
    <n v="23"/>
    <n v="83"/>
    <n v="86"/>
    <n v="69"/>
    <n v="25"/>
    <n v="286"/>
    <n v="500"/>
    <n v="0.572"/>
    <n v="0.428"/>
  </r>
  <r>
    <s v="Mum-TCL099"/>
    <x v="98"/>
    <x v="2"/>
    <n v="17"/>
    <n v="97"/>
    <n v="81"/>
    <n v="32"/>
    <n v="76"/>
    <n v="303"/>
    <n v="500"/>
    <n v="0.606"/>
    <n v="0.394"/>
  </r>
  <r>
    <s v="Mum-TCL100"/>
    <x v="99"/>
    <x v="3"/>
    <n v="92"/>
    <n v="45"/>
    <n v="43"/>
    <n v="91"/>
    <n v="47"/>
    <n v="318"/>
    <n v="500"/>
    <n v="0.636"/>
    <n v="0.364"/>
  </r>
  <r>
    <s v="Mum-TCL101"/>
    <x v="100"/>
    <x v="4"/>
    <n v="49"/>
    <n v="77"/>
    <n v="18"/>
    <n v="69"/>
    <n v="55"/>
    <n v="268"/>
    <n v="500"/>
    <n v="0.536"/>
    <n v="0.464"/>
  </r>
  <r>
    <s v="Mum-TCL102"/>
    <x v="101"/>
    <x v="5"/>
    <n v="81"/>
    <n v="88"/>
    <n v="19"/>
    <n v="95"/>
    <n v="39"/>
    <n v="322"/>
    <n v="500"/>
    <n v="0.644"/>
    <n v="0.356"/>
  </r>
  <r>
    <s v="Mum-TCL103"/>
    <x v="102"/>
    <x v="6"/>
    <n v="55"/>
    <n v="14"/>
    <n v="41"/>
    <n v="40"/>
    <n v="70"/>
    <n v="220"/>
    <n v="500"/>
    <n v="0.44"/>
    <n v="0.5600000000000001"/>
  </r>
  <r>
    <s v="Mum-TCL104"/>
    <x v="103"/>
    <x v="7"/>
    <n v="86"/>
    <n v="13"/>
    <n v="99"/>
    <n v="25"/>
    <n v="83"/>
    <n v="306"/>
    <n v="500"/>
    <n v="0.612"/>
    <n v="0.388"/>
  </r>
  <r>
    <s v="Mum-TCL105"/>
    <x v="104"/>
    <x v="0"/>
    <n v="88"/>
    <n v="96"/>
    <n v="16"/>
    <n v="65"/>
    <n v="86"/>
    <n v="351"/>
    <n v="500"/>
    <n v="0.702"/>
    <n v="0.298"/>
  </r>
  <r>
    <s v="Mum-TCL106"/>
    <x v="105"/>
    <x v="1"/>
    <n v="61"/>
    <n v="73"/>
    <n v="34"/>
    <n v="30"/>
    <n v="30"/>
    <n v="228"/>
    <n v="500"/>
    <n v="0.456"/>
    <n v="0.544"/>
  </r>
  <r>
    <s v="Mum-TCL107"/>
    <x v="106"/>
    <x v="2"/>
    <n v="61"/>
    <n v="91"/>
    <n v="53"/>
    <n v="78"/>
    <n v="91"/>
    <n v="374"/>
    <n v="500"/>
    <n v="0.748"/>
    <n v="0.252"/>
  </r>
  <r>
    <s v="Mum-TCL108"/>
    <x v="107"/>
    <x v="3"/>
    <n v="75"/>
    <n v="53"/>
    <n v="27"/>
    <n v="26"/>
    <n v="30"/>
    <n v="211"/>
    <n v="500"/>
    <n v="0.422"/>
    <n v="0.5780000000000001"/>
  </r>
  <r>
    <s v="Mum-TCL109"/>
    <x v="108"/>
    <x v="4"/>
    <n v="24"/>
    <n v="31"/>
    <n v="41"/>
    <n v="57"/>
    <n v="83"/>
    <n v="236"/>
    <n v="500"/>
    <n v="0.472"/>
    <n v="0.528"/>
  </r>
  <r>
    <s v="Mum-TCL110"/>
    <x v="109"/>
    <x v="5"/>
    <n v="83"/>
    <n v="62"/>
    <n v="32"/>
    <n v="83"/>
    <n v="95"/>
    <n v="355"/>
    <n v="500"/>
    <n v="0.71"/>
    <n v="0.29"/>
  </r>
  <r>
    <s v="Mum-TCL111"/>
    <x v="110"/>
    <x v="6"/>
    <n v="39"/>
    <n v="52"/>
    <n v="72"/>
    <n v="99"/>
    <n v="58"/>
    <n v="320"/>
    <n v="500"/>
    <n v="0.64"/>
    <n v="0.36"/>
  </r>
  <r>
    <s v="Mum-TCL112"/>
    <x v="111"/>
    <x v="7"/>
    <n v="93"/>
    <n v="74"/>
    <n v="85"/>
    <n v="47"/>
    <n v="90"/>
    <n v="389"/>
    <n v="500"/>
    <n v="0.778"/>
    <n v="0.222"/>
  </r>
  <r>
    <s v="Mum-TCL113"/>
    <x v="112"/>
    <x v="0"/>
    <n v="43"/>
    <n v="88"/>
    <n v="35"/>
    <n v="54"/>
    <n v="91"/>
    <n v="311"/>
    <n v="500"/>
    <n v="0.622"/>
    <n v="0.378"/>
  </r>
  <r>
    <s v="Mum-TCL114"/>
    <x v="113"/>
    <x v="1"/>
    <n v="87"/>
    <n v="15"/>
    <n v="11"/>
    <n v="42"/>
    <n v="88"/>
    <n v="243"/>
    <n v="500"/>
    <n v="0.486"/>
    <n v="0.514"/>
  </r>
  <r>
    <s v="Mum-TCL115"/>
    <x v="114"/>
    <x v="2"/>
    <n v="45"/>
    <n v="45"/>
    <n v="61"/>
    <n v="11"/>
    <n v="52"/>
    <n v="214"/>
    <n v="500"/>
    <n v="0.428"/>
    <n v="0.5720000000000001"/>
  </r>
  <r>
    <s v="Mum-TCL116"/>
    <x v="115"/>
    <x v="3"/>
    <n v="71"/>
    <n v="42"/>
    <n v="17"/>
    <n v="57"/>
    <n v="96"/>
    <n v="283"/>
    <n v="500"/>
    <n v="0.5659999999999999"/>
    <n v="0.4340000000000001"/>
  </r>
  <r>
    <s v="Mum-TCL117"/>
    <x v="116"/>
    <x v="4"/>
    <n v="26"/>
    <n v="65"/>
    <n v="17"/>
    <n v="28"/>
    <n v="30"/>
    <n v="166"/>
    <n v="500"/>
    <n v="0.332"/>
    <n v="0.6679999999999999"/>
  </r>
  <r>
    <s v="Mum-TCL118"/>
    <x v="117"/>
    <x v="5"/>
    <n v="26"/>
    <n v="61"/>
    <n v="89"/>
    <n v="71"/>
    <n v="33"/>
    <n v="280"/>
    <n v="500"/>
    <n v="0.5600000000000001"/>
    <n v="0.4399999999999999"/>
  </r>
  <r>
    <s v="Mum-TCL119"/>
    <x v="118"/>
    <x v="6"/>
    <n v="93"/>
    <n v="11"/>
    <n v="93"/>
    <n v="31"/>
    <n v="30"/>
    <n v="258"/>
    <n v="500"/>
    <n v="0.516"/>
    <n v="0.484"/>
  </r>
  <r>
    <s v="Mum-TCL120"/>
    <x v="119"/>
    <x v="7"/>
    <n v="65"/>
    <n v="92"/>
    <n v="48"/>
    <n v="96"/>
    <n v="15"/>
    <n v="316"/>
    <n v="500"/>
    <n v="0.632"/>
    <n v="0.368"/>
  </r>
  <r>
    <s v="Mum-TCL121"/>
    <x v="120"/>
    <x v="0"/>
    <n v="91"/>
    <n v="38"/>
    <n v="33"/>
    <n v="55"/>
    <n v="83"/>
    <n v="300"/>
    <n v="500"/>
    <n v="0.6"/>
    <n v="0.4"/>
  </r>
  <r>
    <s v="Mum-TCL122"/>
    <x v="121"/>
    <x v="1"/>
    <n v="20"/>
    <n v="94"/>
    <n v="45"/>
    <n v="70"/>
    <n v="98"/>
    <n v="327"/>
    <n v="500"/>
    <n v="0.654"/>
    <n v="0.346"/>
  </r>
  <r>
    <s v="Mum-TCL123"/>
    <x v="122"/>
    <x v="2"/>
    <n v="25"/>
    <n v="83"/>
    <n v="26"/>
    <n v="68"/>
    <n v="22"/>
    <n v="224"/>
    <n v="500"/>
    <n v="0.448"/>
    <n v="0.552"/>
  </r>
  <r>
    <s v="Mum-TCL124"/>
    <x v="123"/>
    <x v="3"/>
    <n v="26"/>
    <n v="16"/>
    <n v="61"/>
    <n v="92"/>
    <n v="50"/>
    <n v="245"/>
    <n v="500"/>
    <n v="0.49"/>
    <n v="0.51"/>
  </r>
  <r>
    <s v="Mum-TCL125"/>
    <x v="124"/>
    <x v="4"/>
    <n v="31"/>
    <n v="55"/>
    <n v="75"/>
    <n v="66"/>
    <n v="75"/>
    <n v="302"/>
    <n v="500"/>
    <n v="0.604"/>
    <n v="0.396"/>
  </r>
  <r>
    <s v="Mum-TCL126"/>
    <x v="125"/>
    <x v="5"/>
    <n v="41"/>
    <n v="66"/>
    <n v="48"/>
    <n v="70"/>
    <n v="48"/>
    <n v="273"/>
    <n v="500"/>
    <n v="0.546"/>
    <n v="0.454"/>
  </r>
  <r>
    <s v="Mum-TCL127"/>
    <x v="126"/>
    <x v="6"/>
    <n v="60"/>
    <n v="92"/>
    <n v="32"/>
    <n v="60"/>
    <n v="78"/>
    <n v="322"/>
    <n v="500"/>
    <n v="0.644"/>
    <n v="0.356"/>
  </r>
  <r>
    <s v="Mum-TCL128"/>
    <x v="127"/>
    <x v="7"/>
    <n v="42"/>
    <n v="24"/>
    <n v="19"/>
    <n v="82"/>
    <n v="16"/>
    <n v="183"/>
    <n v="500"/>
    <n v="0.366"/>
    <n v="0.634"/>
  </r>
  <r>
    <s v="Mum-TCL129"/>
    <x v="128"/>
    <x v="0"/>
    <n v="26"/>
    <n v="85"/>
    <n v="75"/>
    <n v="83"/>
    <n v="37"/>
    <n v="306"/>
    <n v="500"/>
    <n v="0.612"/>
    <n v="0.388"/>
  </r>
  <r>
    <s v="Mum-TCL130"/>
    <x v="129"/>
    <x v="1"/>
    <n v="81"/>
    <n v="68"/>
    <n v="74"/>
    <n v="72"/>
    <n v="12"/>
    <n v="307"/>
    <n v="500"/>
    <n v="0.614"/>
    <n v="0.386"/>
  </r>
  <r>
    <s v="Mum-TCL131"/>
    <x v="130"/>
    <x v="2"/>
    <n v="90"/>
    <n v="79"/>
    <n v="99"/>
    <n v="60"/>
    <n v="27"/>
    <n v="355"/>
    <n v="500"/>
    <n v="0.71"/>
    <n v="0.29"/>
  </r>
  <r>
    <s v="Mum-TCL132"/>
    <x v="131"/>
    <x v="3"/>
    <n v="71"/>
    <n v="21"/>
    <n v="70"/>
    <n v="53"/>
    <n v="49"/>
    <n v="264"/>
    <n v="500"/>
    <n v="0.528"/>
    <n v="0.472"/>
  </r>
  <r>
    <s v="Mum-TCL133"/>
    <x v="132"/>
    <x v="4"/>
    <n v="86"/>
    <n v="60"/>
    <n v="59"/>
    <n v="51"/>
    <n v="90"/>
    <n v="346"/>
    <n v="500"/>
    <n v="0.6919999999999999"/>
    <n v="0.3080000000000001"/>
  </r>
  <r>
    <s v="Mum-TCL134"/>
    <x v="133"/>
    <x v="5"/>
    <n v="68"/>
    <n v="61"/>
    <n v="12"/>
    <n v="41"/>
    <n v="35"/>
    <n v="217"/>
    <n v="500"/>
    <n v="0.434"/>
    <n v="0.5660000000000001"/>
  </r>
  <r>
    <s v="Mum-TCL135"/>
    <x v="134"/>
    <x v="6"/>
    <n v="65"/>
    <n v="34"/>
    <n v="15"/>
    <n v="86"/>
    <n v="71"/>
    <n v="271"/>
    <n v="500"/>
    <n v="0.542"/>
    <n v="0.458"/>
  </r>
  <r>
    <s v="Mum-TCL136"/>
    <x v="135"/>
    <x v="7"/>
    <n v="91"/>
    <n v="21"/>
    <n v="59"/>
    <n v="85"/>
    <n v="60"/>
    <n v="316"/>
    <n v="500"/>
    <n v="0.632"/>
    <n v="0.368"/>
  </r>
  <r>
    <s v="Mum-TCL137"/>
    <x v="136"/>
    <x v="0"/>
    <n v="73"/>
    <n v="67"/>
    <n v="49"/>
    <n v="56"/>
    <n v="43"/>
    <n v="288"/>
    <n v="500"/>
    <n v="0.576"/>
    <n v="0.424"/>
  </r>
  <r>
    <s v="Mum-TCL138"/>
    <x v="137"/>
    <x v="1"/>
    <n v="72"/>
    <n v="49"/>
    <n v="93"/>
    <n v="95"/>
    <n v="73"/>
    <n v="382"/>
    <n v="500"/>
    <n v="0.764"/>
    <n v="0.236"/>
  </r>
  <r>
    <s v="Mum-TCL139"/>
    <x v="138"/>
    <x v="2"/>
    <n v="85"/>
    <n v="43"/>
    <n v="74"/>
    <n v="26"/>
    <n v="88"/>
    <n v="316"/>
    <n v="500"/>
    <n v="0.632"/>
    <n v="0.368"/>
  </r>
  <r>
    <s v="Mum-TCL140"/>
    <x v="139"/>
    <x v="3"/>
    <n v="77"/>
    <n v="81"/>
    <n v="10"/>
    <n v="65"/>
    <n v="83"/>
    <n v="316"/>
    <n v="500"/>
    <n v="0.632"/>
    <n v="0.368"/>
  </r>
  <r>
    <s v="Mum-TCL141"/>
    <x v="140"/>
    <x v="4"/>
    <n v="46"/>
    <n v="52"/>
    <n v="57"/>
    <n v="67"/>
    <n v="64"/>
    <n v="286"/>
    <n v="500"/>
    <n v="0.572"/>
    <n v="0.4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6" rowHeaderCaption="Sales Executive">
  <location ref="J3:K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n="Renu Pratap"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h="1" x="1"/>
        <item h="1" x="0"/>
        <item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dataField="1" numFmtId="10" showAll="0"/>
  </pivotFields>
  <rowFields count="1">
    <field x="1"/>
  </rowFields>
  <rowItems count="5">
    <i>
      <x v="20"/>
    </i>
    <i>
      <x v="28"/>
    </i>
    <i>
      <x v="68"/>
    </i>
    <i>
      <x v="101"/>
    </i>
    <i>
      <x v="133"/>
    </i>
  </rowItems>
  <colItems count="1">
    <i/>
  </colItems>
  <dataFields count="1">
    <dataField name="Away From Target % wise" fld="11" baseField="1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3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1" rowHeaderCaption="Sales Executive">
  <location ref="A3:B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h="1" x="1"/>
        <item h="1" x="0"/>
        <item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numFmtId="10" showAll="0"/>
    <pivotField numFmtId="10" showAll="0"/>
  </pivotFields>
  <rowFields count="1">
    <field x="1"/>
  </rowFields>
  <rowItems count="5">
    <i>
      <x v="10"/>
    </i>
    <i>
      <x v="15"/>
    </i>
    <i>
      <x v="36"/>
    </i>
    <i>
      <x v="76"/>
    </i>
    <i>
      <x v="117"/>
    </i>
  </rowItems>
  <colItems count="1">
    <i/>
  </colItems>
  <dataFields count="1">
    <dataField name="Total Sales " fld="8" baseField="1" baseItem="3"/>
  </dataFields>
  <formats count="10">
    <format dxfId="9">
      <pivotArea collapsedLevelsAreSubtotals="1" fieldPosition="0">
        <references count="1">
          <reference field="1" count="1">
            <x v="137"/>
          </reference>
        </references>
      </pivotArea>
    </format>
    <format dxfId="8">
      <pivotArea collapsedLevelsAreSubtotals="1" fieldPosition="0">
        <references count="1">
          <reference field="1" count="1">
            <x v="129"/>
          </reference>
        </references>
      </pivotArea>
    </format>
    <format dxfId="7">
      <pivotArea collapsedLevelsAreSubtotals="1" fieldPosition="0">
        <references count="1">
          <reference field="1" count="1">
            <x v="64"/>
          </reference>
        </references>
      </pivotArea>
    </format>
    <format dxfId="6">
      <pivotArea collapsedLevelsAreSubtotals="1" fieldPosition="0">
        <references count="1">
          <reference field="1" count="1">
            <x v="32"/>
          </reference>
        </references>
      </pivotArea>
    </format>
    <format dxfId="5">
      <pivotArea collapsedLevelsAreSubtotals="1" fieldPosition="0">
        <references count="1">
          <reference field="1" count="1">
            <x v="16"/>
          </reference>
        </references>
      </pivotArea>
    </format>
    <format dxfId="4">
      <pivotArea dataOnly="0" labelOnly="1" fieldPosition="0">
        <references count="1">
          <reference field="1" count="1">
            <x v="137"/>
          </reference>
        </references>
      </pivotArea>
    </format>
    <format dxfId="3">
      <pivotArea dataOnly="0" labelOnly="1" fieldPosition="0">
        <references count="1">
          <reference field="1" count="1">
            <x v="129"/>
          </reference>
        </references>
      </pivotArea>
    </format>
    <format dxfId="2">
      <pivotArea dataOnly="0" labelOnly="1" fieldPosition="0">
        <references count="1">
          <reference field="1" count="1">
            <x v="64"/>
          </reference>
        </references>
      </pivotArea>
    </format>
    <format dxfId="1">
      <pivotArea dataOnly="0" labelOnly="1" fieldPosition="0">
        <references count="1">
          <reference field="1" count="1">
            <x v="32"/>
          </reference>
        </references>
      </pivotArea>
    </format>
    <format dxfId="0">
      <pivotArea dataOnly="0" labelOnly="1" fieldPosition="0">
        <references count="1">
          <reference field="1" count="1">
            <x v="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1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rowHeaderCaption="Sales Executive">
  <location ref="D3:E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h="1" x="1"/>
        <item h="1" x="0"/>
        <item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numFmtId="10" showAll="0"/>
    <pivotField numFmtId="10" showAll="0"/>
  </pivotFields>
  <rowFields count="1">
    <field x="1"/>
  </rowFields>
  <rowItems count="5">
    <i>
      <x v="20"/>
    </i>
    <i>
      <x v="28"/>
    </i>
    <i>
      <x v="68"/>
    </i>
    <i>
      <x v="101"/>
    </i>
    <i>
      <x v="133"/>
    </i>
  </rowItems>
  <colItems count="1">
    <i/>
  </colItems>
  <dataFields count="1">
    <dataField name="Total Sales " fld="8" baseField="1" baseItem="3"/>
  </dataFields>
  <formats count="11">
    <format dxfId="20">
      <pivotArea collapsedLevelsAreSubtotals="1" fieldPosition="0">
        <references count="1">
          <reference field="1" count="1">
            <x v="97"/>
          </reference>
        </references>
      </pivotArea>
    </format>
    <format dxfId="19">
      <pivotArea collapsedLevelsAreSubtotals="1" fieldPosition="0">
        <references count="1">
          <reference field="1" count="1">
            <x v="72"/>
          </reference>
        </references>
      </pivotArea>
    </format>
    <format dxfId="18">
      <pivotArea collapsedLevelsAreSubtotals="1" fieldPosition="0">
        <references count="1">
          <reference field="1" count="1">
            <x v="72"/>
          </reference>
        </references>
      </pivotArea>
    </format>
    <format dxfId="17">
      <pivotArea collapsedLevelsAreSubtotals="1" fieldPosition="0">
        <references count="1">
          <reference field="1" count="1">
            <x v="113"/>
          </reference>
        </references>
      </pivotArea>
    </format>
    <format dxfId="16">
      <pivotArea collapsedLevelsAreSubtotals="1" fieldPosition="0">
        <references count="1">
          <reference field="1" count="1">
            <x v="56"/>
          </reference>
        </references>
      </pivotArea>
    </format>
    <format dxfId="15">
      <pivotArea collapsedLevelsAreSubtotals="1" fieldPosition="0">
        <references count="1">
          <reference field="1" count="1">
            <x v="121"/>
          </reference>
        </references>
      </pivotArea>
    </format>
    <format dxfId="14">
      <pivotArea dataOnly="0" labelOnly="1" fieldPosition="0">
        <references count="1">
          <reference field="1" count="1">
            <x v="121"/>
          </reference>
        </references>
      </pivotArea>
    </format>
    <format dxfId="13">
      <pivotArea dataOnly="0" labelOnly="1" fieldPosition="0">
        <references count="1">
          <reference field="1" count="1">
            <x v="113"/>
          </reference>
        </references>
      </pivotArea>
    </format>
    <format dxfId="12">
      <pivotArea dataOnly="0" labelOnly="1" fieldPosition="0">
        <references count="1">
          <reference field="1" count="1">
            <x v="97"/>
          </reference>
        </references>
      </pivotArea>
    </format>
    <format dxfId="11">
      <pivotArea dataOnly="0" labelOnly="1" fieldPosition="0">
        <references count="1">
          <reference field="1" count="1">
            <x v="72"/>
          </reference>
        </references>
      </pivotArea>
    </format>
    <format dxfId="10">
      <pivotArea dataOnly="0" labelOnly="1" fieldPosition="0">
        <references count="1">
          <reference field="1" count="1">
            <x v="56"/>
          </reference>
        </references>
      </pivotArea>
    </format>
  </formats>
  <pivotTableStyleInfo name="PivotStyleDark11" showRowHeaders="1" showColHeaders="1" showRowStripes="0" showColStripes="0" showLastColumn="1"/>
  <filters count="1">
    <filter fld="1" type="count" evalOrder="-1" id="4" iMeasureFld="0">
      <autoFilter ref="A1">
        <filterColumn colId="0">
          <top10 top="0"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3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 rowHeaderCaption="Sales Executive">
  <location ref="G3:H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h="1" x="1"/>
        <item h="1" x="0"/>
        <item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10" showAll="0"/>
    <pivotField numFmtId="10" showAll="0"/>
  </pivotFields>
  <rowFields count="1">
    <field x="1"/>
  </rowFields>
  <rowItems count="5">
    <i>
      <x v="10"/>
    </i>
    <i>
      <x v="15"/>
    </i>
    <i>
      <x v="36"/>
    </i>
    <i>
      <x v="76"/>
    </i>
    <i>
      <x v="117"/>
    </i>
  </rowItems>
  <colItems count="1">
    <i/>
  </colItems>
  <dataFields count="1">
    <dataField name="Target Hit % wise" fld="10" baseField="1" baseItem="0" numFmtId="1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17"/>
          </reference>
        </references>
      </pivotArea>
    </chartFormat>
  </chartFormats>
  <pivotTableStyleInfo name="PivotStyleDark13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"/>
  <sheetViews>
    <sheetView showGridLines="0" showRowColHeaders="0" topLeftCell="A3" zoomScaleNormal="86" workbookViewId="0">
      <selection activeCell="S20" sqref="S20"/>
    </sheetView>
  </sheetViews>
  <sheetFormatPr defaultRowHeight="14.4" x14ac:dyDescent="0.3"/>
  <cols>
    <col min="1" max="1" width="17.33203125" customWidth="1"/>
    <col min="2" max="2" width="10.44140625" bestFit="1" customWidth="1"/>
    <col min="3" max="3" width="2" customWidth="1"/>
    <col min="4" max="4" width="17" customWidth="1"/>
    <col min="5" max="5" width="14" customWidth="1"/>
    <col min="6" max="6" width="2.33203125" customWidth="1"/>
    <col min="7" max="7" width="14.44140625" bestFit="1" customWidth="1"/>
    <col min="8" max="8" width="15.6640625" bestFit="1" customWidth="1"/>
    <col min="9" max="9" width="1.77734375" customWidth="1"/>
    <col min="10" max="10" width="17.21875" customWidth="1"/>
    <col min="11" max="11" width="22.88671875" bestFit="1" customWidth="1"/>
  </cols>
  <sheetData>
    <row r="1" spans="1:12" ht="26.4" customHeight="1" x14ac:dyDescent="0.3">
      <c r="A1" s="12" t="b">
        <v>1</v>
      </c>
      <c r="B1" s="12"/>
      <c r="C1" s="12"/>
      <c r="D1" s="12" t="b">
        <v>1</v>
      </c>
      <c r="E1" s="12"/>
      <c r="F1" s="12"/>
      <c r="G1" s="12" t="b">
        <v>1</v>
      </c>
      <c r="H1" s="12"/>
      <c r="I1" s="12"/>
      <c r="J1" s="12" t="b">
        <v>1</v>
      </c>
      <c r="K1" s="12"/>
    </row>
    <row r="2" spans="1:12" ht="37.799999999999997" customHeight="1" x14ac:dyDescent="0.3">
      <c r="A2" s="14"/>
      <c r="B2" s="14"/>
      <c r="C2" s="16"/>
      <c r="D2" s="14"/>
      <c r="E2" s="14"/>
      <c r="F2" s="16"/>
      <c r="G2" s="14"/>
      <c r="H2" s="14"/>
      <c r="I2" s="16"/>
      <c r="J2" s="15"/>
      <c r="K2" s="14"/>
      <c r="L2" s="13"/>
    </row>
    <row r="3" spans="1:12" x14ac:dyDescent="0.3">
      <c r="A3" s="9" t="s">
        <v>0</v>
      </c>
      <c r="B3" t="s">
        <v>1</v>
      </c>
      <c r="C3" s="16"/>
      <c r="D3" s="9" t="s">
        <v>0</v>
      </c>
      <c r="E3" t="s">
        <v>1</v>
      </c>
      <c r="F3" s="16"/>
      <c r="G3" s="9" t="s">
        <v>0</v>
      </c>
      <c r="H3" t="s">
        <v>2</v>
      </c>
      <c r="I3" s="16"/>
      <c r="J3" s="9" t="s">
        <v>0</v>
      </c>
      <c r="K3" t="s">
        <v>3</v>
      </c>
    </row>
    <row r="4" spans="1:12" x14ac:dyDescent="0.3">
      <c r="A4" s="10" t="s">
        <v>4</v>
      </c>
      <c r="B4">
        <v>355</v>
      </c>
      <c r="C4" s="16"/>
      <c r="D4" s="10" t="s">
        <v>5</v>
      </c>
      <c r="E4">
        <v>224</v>
      </c>
      <c r="F4" s="16"/>
      <c r="G4" s="10" t="s">
        <v>4</v>
      </c>
      <c r="H4" s="11">
        <v>0.71</v>
      </c>
      <c r="I4" s="16"/>
      <c r="J4" s="10" t="s">
        <v>5</v>
      </c>
      <c r="K4" s="11">
        <v>0.55200000000000005</v>
      </c>
    </row>
    <row r="5" spans="1:12" x14ac:dyDescent="0.3">
      <c r="A5" s="10" t="s">
        <v>6</v>
      </c>
      <c r="B5">
        <v>379</v>
      </c>
      <c r="C5" s="16"/>
      <c r="D5" s="10" t="s">
        <v>7</v>
      </c>
      <c r="E5">
        <v>214</v>
      </c>
      <c r="F5" s="16"/>
      <c r="G5" s="10" t="s">
        <v>6</v>
      </c>
      <c r="H5" s="11">
        <v>0.75800000000000001</v>
      </c>
      <c r="I5" s="16"/>
      <c r="J5" s="10" t="s">
        <v>7</v>
      </c>
      <c r="K5" s="11">
        <v>0.57200000000000006</v>
      </c>
    </row>
    <row r="6" spans="1:12" x14ac:dyDescent="0.3">
      <c r="A6" s="10" t="s">
        <v>8</v>
      </c>
      <c r="B6">
        <v>374</v>
      </c>
      <c r="C6" s="16"/>
      <c r="D6" s="10" t="s">
        <v>9</v>
      </c>
      <c r="E6">
        <v>224</v>
      </c>
      <c r="F6" s="16"/>
      <c r="G6" s="10" t="s">
        <v>8</v>
      </c>
      <c r="H6" s="11">
        <v>0.748</v>
      </c>
      <c r="I6" s="16"/>
      <c r="J6" s="10" t="s">
        <v>9</v>
      </c>
      <c r="K6" s="11">
        <v>0.55200000000000005</v>
      </c>
    </row>
    <row r="7" spans="1:12" x14ac:dyDescent="0.3">
      <c r="A7" s="10" t="s">
        <v>10</v>
      </c>
      <c r="B7">
        <v>342</v>
      </c>
      <c r="C7" s="16"/>
      <c r="D7" s="10" t="s">
        <v>11</v>
      </c>
      <c r="E7">
        <v>206</v>
      </c>
      <c r="F7" s="16"/>
      <c r="G7" s="10" t="s">
        <v>10</v>
      </c>
      <c r="H7" s="11">
        <v>0.68400000000000005</v>
      </c>
      <c r="I7" s="16"/>
      <c r="J7" s="10" t="s">
        <v>11</v>
      </c>
      <c r="K7" s="11">
        <v>0.58800000000000008</v>
      </c>
    </row>
    <row r="8" spans="1:12" x14ac:dyDescent="0.3">
      <c r="A8" s="10" t="s">
        <v>12</v>
      </c>
      <c r="B8">
        <v>357</v>
      </c>
      <c r="C8" s="16"/>
      <c r="D8" s="10" t="s">
        <v>13</v>
      </c>
      <c r="E8">
        <v>219</v>
      </c>
      <c r="F8" s="16"/>
      <c r="G8" s="10" t="s">
        <v>12</v>
      </c>
      <c r="H8" s="11">
        <v>0.71399999999999997</v>
      </c>
      <c r="I8" s="16"/>
      <c r="J8" s="10" t="s">
        <v>13</v>
      </c>
      <c r="K8" s="11">
        <v>0.56200000000000006</v>
      </c>
    </row>
    <row r="9" spans="1:12" x14ac:dyDescent="0.3">
      <c r="A9" s="12"/>
      <c r="B9" s="12"/>
      <c r="C9" s="12"/>
      <c r="D9" s="12"/>
      <c r="E9" s="12"/>
      <c r="F9" s="16"/>
      <c r="G9" s="12"/>
      <c r="H9" s="12"/>
      <c r="I9" s="16"/>
      <c r="J9" s="12"/>
      <c r="K9" s="12"/>
    </row>
    <row r="10" spans="1:12" x14ac:dyDescent="0.3">
      <c r="A10" s="12"/>
      <c r="B10" s="12"/>
      <c r="C10" s="12"/>
      <c r="D10" s="12"/>
      <c r="E10" s="12"/>
      <c r="F10" s="16"/>
      <c r="G10" s="12"/>
      <c r="H10" s="12"/>
      <c r="I10" s="16"/>
      <c r="J10" s="12"/>
      <c r="K10" s="12"/>
    </row>
    <row r="11" spans="1:12" x14ac:dyDescent="0.3">
      <c r="A11" s="12"/>
      <c r="B11" s="12"/>
      <c r="C11" s="12"/>
      <c r="D11" s="12"/>
      <c r="E11" s="12"/>
      <c r="F11" s="16"/>
      <c r="G11" s="12"/>
      <c r="H11" s="12"/>
      <c r="I11" s="16"/>
      <c r="J11" s="12"/>
      <c r="K11" s="12"/>
    </row>
    <row r="12" spans="1:12" x14ac:dyDescent="0.3">
      <c r="A12" s="12"/>
      <c r="B12" s="12"/>
      <c r="C12" s="12"/>
      <c r="D12" s="12"/>
      <c r="E12" s="12"/>
      <c r="F12" s="16"/>
      <c r="G12" s="12"/>
      <c r="H12" s="12"/>
      <c r="I12" s="16"/>
      <c r="J12" s="12"/>
      <c r="K12" s="12"/>
    </row>
    <row r="13" spans="1:12" x14ac:dyDescent="0.3">
      <c r="A13" s="12"/>
      <c r="B13" s="12"/>
      <c r="C13" s="12"/>
      <c r="D13" s="12"/>
      <c r="E13" s="12"/>
      <c r="F13" s="16"/>
      <c r="G13" s="12"/>
      <c r="H13" s="12"/>
      <c r="I13" s="16"/>
      <c r="J13" s="12"/>
      <c r="K13" s="12"/>
    </row>
    <row r="14" spans="1:12" x14ac:dyDescent="0.3">
      <c r="A14" s="12"/>
      <c r="B14" s="12"/>
      <c r="C14" s="12"/>
      <c r="D14" s="12"/>
      <c r="E14" s="12"/>
      <c r="F14" s="16"/>
      <c r="G14" s="12"/>
      <c r="H14" s="12"/>
      <c r="I14" s="16"/>
      <c r="J14" s="12"/>
      <c r="K14" s="12"/>
    </row>
    <row r="15" spans="1:12" x14ac:dyDescent="0.3">
      <c r="A15" s="12"/>
      <c r="B15" s="12"/>
      <c r="C15" s="12"/>
      <c r="D15" s="12"/>
      <c r="E15" s="12"/>
      <c r="F15" s="16"/>
      <c r="G15" s="12"/>
      <c r="H15" s="12"/>
      <c r="I15" s="16"/>
      <c r="J15" s="12"/>
      <c r="K15" s="12"/>
    </row>
    <row r="16" spans="1:12" x14ac:dyDescent="0.3">
      <c r="A16" s="12"/>
      <c r="B16" s="12"/>
      <c r="C16" s="12"/>
      <c r="D16" s="12"/>
      <c r="E16" s="12"/>
      <c r="F16" s="16"/>
      <c r="G16" s="12"/>
      <c r="H16" s="12"/>
      <c r="I16" s="16"/>
      <c r="J16" s="12"/>
      <c r="K16" s="12"/>
    </row>
    <row r="17" spans="1:11" x14ac:dyDescent="0.3">
      <c r="A17" s="12"/>
      <c r="B17" s="12"/>
      <c r="C17" s="12"/>
      <c r="D17" s="12"/>
      <c r="E17" s="12"/>
      <c r="F17" s="16"/>
      <c r="G17" s="12"/>
      <c r="H17" s="12"/>
      <c r="I17" s="16"/>
      <c r="J17" s="12"/>
      <c r="K17" s="12"/>
    </row>
    <row r="18" spans="1:11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</row>
    <row r="19" spans="1:11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</sheetData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Check Box 1">
              <controlPr defaultSize="0" autoFill="0" autoLine="0" autoPict="0" macro="[0]!SlicerConnection">
                <anchor moveWithCells="1">
                  <from>
                    <xdr:col>0</xdr:col>
                    <xdr:colOff>373380</xdr:colOff>
                    <xdr:row>1</xdr:row>
                    <xdr:rowOff>137160</xdr:rowOff>
                  </from>
                  <to>
                    <xdr:col>1</xdr:col>
                    <xdr:colOff>99060</xdr:colOff>
                    <xdr:row>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" name="Check Box 2">
              <controlPr defaultSize="0" autoFill="0" autoLine="0" autoPict="0" macro="[0]!SlicerConnection">
                <anchor moveWithCells="1">
                  <from>
                    <xdr:col>3</xdr:col>
                    <xdr:colOff>586740</xdr:colOff>
                    <xdr:row>1</xdr:row>
                    <xdr:rowOff>129540</xdr:rowOff>
                  </from>
                  <to>
                    <xdr:col>4</xdr:col>
                    <xdr:colOff>335280</xdr:colOff>
                    <xdr:row>1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9" name="Check Box 3">
              <controlPr defaultSize="0" autoFill="0" autoLine="0" autoPict="0" macro="[0]!SlicerConnection">
                <anchor moveWithCells="1">
                  <from>
                    <xdr:col>6</xdr:col>
                    <xdr:colOff>693420</xdr:colOff>
                    <xdr:row>1</xdr:row>
                    <xdr:rowOff>137160</xdr:rowOff>
                  </from>
                  <to>
                    <xdr:col>7</xdr:col>
                    <xdr:colOff>617220</xdr:colOff>
                    <xdr:row>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0" name="Check Box 4">
              <controlPr defaultSize="0" autoFill="0" autoLine="0" autoPict="0" macro="[0]!SlicerConnection">
                <anchor moveWithCells="1">
                  <from>
                    <xdr:col>9</xdr:col>
                    <xdr:colOff>899160</xdr:colOff>
                    <xdr:row>1</xdr:row>
                    <xdr:rowOff>137160</xdr:rowOff>
                  </from>
                  <to>
                    <xdr:col>10</xdr:col>
                    <xdr:colOff>624840</xdr:colOff>
                    <xdr:row>1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142"/>
  <sheetViews>
    <sheetView tabSelected="1" zoomScale="78" zoomScaleNormal="130" workbookViewId="0">
      <selection sqref="A1:L142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14</v>
      </c>
      <c r="B1" s="1" t="s">
        <v>0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</row>
    <row r="2" spans="1:12" x14ac:dyDescent="0.3">
      <c r="A2" s="2" t="s">
        <v>25</v>
      </c>
      <c r="B2" s="3" t="s">
        <v>26</v>
      </c>
      <c r="C2" s="3" t="s">
        <v>27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 t="shared" ref="I2:I33" si="0">SUM(D2:H2)</f>
        <v>339</v>
      </c>
      <c r="J2" s="5">
        <v>500</v>
      </c>
      <c r="K2" s="6">
        <f t="shared" ref="K2:K33" si="1">I2/J2</f>
        <v>0.67800000000000005</v>
      </c>
      <c r="L2" s="7">
        <f t="shared" ref="L2:L33" si="2">100%-K2</f>
        <v>0.32199999999999995</v>
      </c>
    </row>
    <row r="3" spans="1:12" x14ac:dyDescent="0.3">
      <c r="A3" s="2" t="s">
        <v>28</v>
      </c>
      <c r="B3" s="3" t="s">
        <v>29</v>
      </c>
      <c r="C3" s="3" t="s">
        <v>30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si="0"/>
        <v>239</v>
      </c>
      <c r="J3" s="5">
        <v>500</v>
      </c>
      <c r="K3" s="6">
        <f t="shared" si="1"/>
        <v>0.47799999999999998</v>
      </c>
      <c r="L3" s="7">
        <f t="shared" si="2"/>
        <v>0.52200000000000002</v>
      </c>
    </row>
    <row r="4" spans="1:12" x14ac:dyDescent="0.3">
      <c r="A4" s="2" t="s">
        <v>31</v>
      </c>
      <c r="B4" s="3" t="s">
        <v>6</v>
      </c>
      <c r="C4" s="3" t="s">
        <v>32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33</v>
      </c>
      <c r="B5" s="3" t="s">
        <v>34</v>
      </c>
      <c r="C5" s="3" t="s">
        <v>35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36</v>
      </c>
      <c r="B6" s="3" t="s">
        <v>37</v>
      </c>
      <c r="C6" s="3" t="s">
        <v>38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39</v>
      </c>
      <c r="B7" s="3" t="s">
        <v>40</v>
      </c>
      <c r="C7" s="3" t="s">
        <v>41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42</v>
      </c>
      <c r="B8" s="3" t="s">
        <v>43</v>
      </c>
      <c r="C8" s="3" t="s">
        <v>44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45</v>
      </c>
      <c r="B9" s="3" t="s">
        <v>46</v>
      </c>
      <c r="C9" s="3" t="s">
        <v>47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48</v>
      </c>
      <c r="B10" s="3" t="s">
        <v>49</v>
      </c>
      <c r="C10" s="3" t="s">
        <v>27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50</v>
      </c>
      <c r="B11" s="3" t="s">
        <v>51</v>
      </c>
      <c r="C11" s="3" t="s">
        <v>30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52</v>
      </c>
      <c r="B12" s="3" t="s">
        <v>13</v>
      </c>
      <c r="C12" s="3" t="s">
        <v>32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53</v>
      </c>
      <c r="B13" s="3" t="s">
        <v>54</v>
      </c>
      <c r="C13" s="3" t="s">
        <v>35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55</v>
      </c>
      <c r="B14" s="3" t="s">
        <v>56</v>
      </c>
      <c r="C14" s="3" t="s">
        <v>38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57</v>
      </c>
      <c r="B15" s="3" t="s">
        <v>58</v>
      </c>
      <c r="C15" s="3" t="s">
        <v>41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59</v>
      </c>
      <c r="B16" s="3" t="s">
        <v>60</v>
      </c>
      <c r="C16" s="3" t="s">
        <v>44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61</v>
      </c>
      <c r="B17" s="3" t="s">
        <v>62</v>
      </c>
      <c r="C17" s="3" t="s">
        <v>47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63</v>
      </c>
      <c r="B18" s="3" t="s">
        <v>64</v>
      </c>
      <c r="C18" s="3" t="s">
        <v>27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65</v>
      </c>
      <c r="B19" s="3" t="s">
        <v>66</v>
      </c>
      <c r="C19" s="3" t="s">
        <v>30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67</v>
      </c>
      <c r="B20" s="3" t="s">
        <v>68</v>
      </c>
      <c r="C20" s="3" t="s">
        <v>32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69</v>
      </c>
      <c r="B21" s="3" t="s">
        <v>70</v>
      </c>
      <c r="C21" s="3" t="s">
        <v>35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71</v>
      </c>
      <c r="B22" s="3" t="s">
        <v>72</v>
      </c>
      <c r="C22" s="3" t="s">
        <v>38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73</v>
      </c>
      <c r="B23" s="3" t="s">
        <v>74</v>
      </c>
      <c r="C23" s="3" t="s">
        <v>41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75</v>
      </c>
      <c r="B24" s="3" t="s">
        <v>76</v>
      </c>
      <c r="C24" s="3" t="s">
        <v>44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77</v>
      </c>
      <c r="B25" s="3" t="s">
        <v>78</v>
      </c>
      <c r="C25" s="3" t="s">
        <v>47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79</v>
      </c>
      <c r="B26" s="3" t="s">
        <v>80</v>
      </c>
      <c r="C26" s="3" t="s">
        <v>27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81</v>
      </c>
      <c r="B27" s="3" t="s">
        <v>82</v>
      </c>
      <c r="C27" s="3" t="s">
        <v>30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83</v>
      </c>
      <c r="B28" s="3" t="s">
        <v>12</v>
      </c>
      <c r="C28" s="3" t="s">
        <v>32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84</v>
      </c>
      <c r="B29" s="3" t="s">
        <v>85</v>
      </c>
      <c r="C29" s="3" t="s">
        <v>35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86</v>
      </c>
      <c r="B30" s="3" t="s">
        <v>87</v>
      </c>
      <c r="C30" s="3" t="s">
        <v>38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88</v>
      </c>
      <c r="B31" s="3" t="s">
        <v>89</v>
      </c>
      <c r="C31" s="3" t="s">
        <v>41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90</v>
      </c>
      <c r="B32" s="3" t="s">
        <v>91</v>
      </c>
      <c r="C32" s="3" t="s">
        <v>44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92</v>
      </c>
      <c r="B33" s="3" t="s">
        <v>93</v>
      </c>
      <c r="C33" s="3" t="s">
        <v>47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94</v>
      </c>
      <c r="B34" s="3" t="s">
        <v>95</v>
      </c>
      <c r="C34" s="3" t="s">
        <v>27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ref="I34:I65" si="3">SUM(D34:H34)</f>
        <v>332</v>
      </c>
      <c r="J34" s="5">
        <v>500</v>
      </c>
      <c r="K34" s="6">
        <f t="shared" ref="K34:K65" si="4">I34/J34</f>
        <v>0.66400000000000003</v>
      </c>
      <c r="L34" s="7">
        <f t="shared" ref="L34:L65" si="5">100%-K34</f>
        <v>0.33599999999999997</v>
      </c>
    </row>
    <row r="35" spans="1:12" x14ac:dyDescent="0.3">
      <c r="A35" s="2" t="s">
        <v>96</v>
      </c>
      <c r="B35" s="3" t="s">
        <v>97</v>
      </c>
      <c r="C35" s="3" t="s">
        <v>30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3"/>
        <v>223</v>
      </c>
      <c r="J35" s="5">
        <v>500</v>
      </c>
      <c r="K35" s="6">
        <f t="shared" si="4"/>
        <v>0.44600000000000001</v>
      </c>
      <c r="L35" s="7">
        <f t="shared" si="5"/>
        <v>0.55400000000000005</v>
      </c>
    </row>
    <row r="36" spans="1:12" x14ac:dyDescent="0.3">
      <c r="A36" s="2" t="s">
        <v>98</v>
      </c>
      <c r="B36" s="3" t="s">
        <v>99</v>
      </c>
      <c r="C36" s="3" t="s">
        <v>32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3"/>
        <v>323</v>
      </c>
      <c r="J36" s="5">
        <v>500</v>
      </c>
      <c r="K36" s="6">
        <f t="shared" si="4"/>
        <v>0.64600000000000002</v>
      </c>
      <c r="L36" s="7">
        <f t="shared" si="5"/>
        <v>0.35399999999999998</v>
      </c>
    </row>
    <row r="37" spans="1:12" x14ac:dyDescent="0.3">
      <c r="A37" s="2" t="s">
        <v>100</v>
      </c>
      <c r="B37" s="3" t="s">
        <v>101</v>
      </c>
      <c r="C37" s="3" t="s">
        <v>35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3"/>
        <v>214</v>
      </c>
      <c r="J37" s="5">
        <v>500</v>
      </c>
      <c r="K37" s="6">
        <f t="shared" si="4"/>
        <v>0.42799999999999999</v>
      </c>
      <c r="L37" s="7">
        <f t="shared" si="5"/>
        <v>0.57200000000000006</v>
      </c>
    </row>
    <row r="38" spans="1:12" x14ac:dyDescent="0.3">
      <c r="A38" s="2" t="s">
        <v>102</v>
      </c>
      <c r="B38" s="3" t="s">
        <v>103</v>
      </c>
      <c r="C38" s="3" t="s">
        <v>38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3"/>
        <v>335</v>
      </c>
      <c r="J38" s="5">
        <v>500</v>
      </c>
      <c r="K38" s="6">
        <f t="shared" si="4"/>
        <v>0.67</v>
      </c>
      <c r="L38" s="7">
        <f t="shared" si="5"/>
        <v>0.32999999999999996</v>
      </c>
    </row>
    <row r="39" spans="1:12" x14ac:dyDescent="0.3">
      <c r="A39" s="2" t="s">
        <v>104</v>
      </c>
      <c r="B39" s="3" t="s">
        <v>105</v>
      </c>
      <c r="C39" s="3" t="s">
        <v>41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3"/>
        <v>264</v>
      </c>
      <c r="J39" s="5">
        <v>500</v>
      </c>
      <c r="K39" s="6">
        <f t="shared" si="4"/>
        <v>0.52800000000000002</v>
      </c>
      <c r="L39" s="7">
        <f t="shared" si="5"/>
        <v>0.47199999999999998</v>
      </c>
    </row>
    <row r="40" spans="1:12" x14ac:dyDescent="0.3">
      <c r="A40" s="2" t="s">
        <v>106</v>
      </c>
      <c r="B40" s="3" t="s">
        <v>107</v>
      </c>
      <c r="C40" s="3" t="s">
        <v>44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3"/>
        <v>274</v>
      </c>
      <c r="J40" s="5">
        <v>500</v>
      </c>
      <c r="K40" s="6">
        <f t="shared" si="4"/>
        <v>0.54800000000000004</v>
      </c>
      <c r="L40" s="7">
        <f t="shared" si="5"/>
        <v>0.45199999999999996</v>
      </c>
    </row>
    <row r="41" spans="1:12" x14ac:dyDescent="0.3">
      <c r="A41" s="2" t="s">
        <v>108</v>
      </c>
      <c r="B41" s="3" t="s">
        <v>109</v>
      </c>
      <c r="C41" s="3" t="s">
        <v>47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3"/>
        <v>232</v>
      </c>
      <c r="J41" s="5">
        <v>500</v>
      </c>
      <c r="K41" s="6">
        <f t="shared" si="4"/>
        <v>0.46400000000000002</v>
      </c>
      <c r="L41" s="7">
        <f t="shared" si="5"/>
        <v>0.53600000000000003</v>
      </c>
    </row>
    <row r="42" spans="1:12" x14ac:dyDescent="0.3">
      <c r="A42" s="2" t="s">
        <v>110</v>
      </c>
      <c r="B42" s="3" t="s">
        <v>111</v>
      </c>
      <c r="C42" s="3" t="s">
        <v>27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3"/>
        <v>207</v>
      </c>
      <c r="J42" s="5">
        <v>500</v>
      </c>
      <c r="K42" s="6">
        <f t="shared" si="4"/>
        <v>0.41399999999999998</v>
      </c>
      <c r="L42" s="7">
        <f t="shared" si="5"/>
        <v>0.58600000000000008</v>
      </c>
    </row>
    <row r="43" spans="1:12" x14ac:dyDescent="0.3">
      <c r="A43" s="2" t="s">
        <v>112</v>
      </c>
      <c r="B43" s="3" t="s">
        <v>113</v>
      </c>
      <c r="C43" s="3" t="s">
        <v>30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3"/>
        <v>371</v>
      </c>
      <c r="J43" s="5">
        <v>500</v>
      </c>
      <c r="K43" s="6">
        <f t="shared" si="4"/>
        <v>0.74199999999999999</v>
      </c>
      <c r="L43" s="7">
        <f t="shared" si="5"/>
        <v>0.25800000000000001</v>
      </c>
    </row>
    <row r="44" spans="1:12" x14ac:dyDescent="0.3">
      <c r="A44" s="2" t="s">
        <v>114</v>
      </c>
      <c r="B44" s="3" t="s">
        <v>11</v>
      </c>
      <c r="C44" s="3" t="s">
        <v>32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3"/>
        <v>206</v>
      </c>
      <c r="J44" s="5">
        <v>500</v>
      </c>
      <c r="K44" s="6">
        <f t="shared" si="4"/>
        <v>0.41199999999999998</v>
      </c>
      <c r="L44" s="7">
        <f t="shared" si="5"/>
        <v>0.58800000000000008</v>
      </c>
    </row>
    <row r="45" spans="1:12" x14ac:dyDescent="0.3">
      <c r="A45" s="2" t="s">
        <v>115</v>
      </c>
      <c r="B45" s="3" t="s">
        <v>116</v>
      </c>
      <c r="C45" s="3" t="s">
        <v>35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3"/>
        <v>213</v>
      </c>
      <c r="J45" s="5">
        <v>500</v>
      </c>
      <c r="K45" s="6">
        <f t="shared" si="4"/>
        <v>0.42599999999999999</v>
      </c>
      <c r="L45" s="7">
        <f t="shared" si="5"/>
        <v>0.57400000000000007</v>
      </c>
    </row>
    <row r="46" spans="1:12" x14ac:dyDescent="0.3">
      <c r="A46" s="2" t="s">
        <v>117</v>
      </c>
      <c r="B46" s="3" t="s">
        <v>118</v>
      </c>
      <c r="C46" s="3" t="s">
        <v>38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3"/>
        <v>285</v>
      </c>
      <c r="J46" s="5">
        <v>500</v>
      </c>
      <c r="K46" s="6">
        <f t="shared" si="4"/>
        <v>0.56999999999999995</v>
      </c>
      <c r="L46" s="7">
        <f t="shared" si="5"/>
        <v>0.43000000000000005</v>
      </c>
    </row>
    <row r="47" spans="1:12" x14ac:dyDescent="0.3">
      <c r="A47" s="2" t="s">
        <v>119</v>
      </c>
      <c r="B47" s="3" t="s">
        <v>120</v>
      </c>
      <c r="C47" s="3" t="s">
        <v>41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3"/>
        <v>350</v>
      </c>
      <c r="J47" s="5">
        <v>500</v>
      </c>
      <c r="K47" s="6">
        <f t="shared" si="4"/>
        <v>0.7</v>
      </c>
      <c r="L47" s="7">
        <f t="shared" si="5"/>
        <v>0.30000000000000004</v>
      </c>
    </row>
    <row r="48" spans="1:12" x14ac:dyDescent="0.3">
      <c r="A48" s="2" t="s">
        <v>121</v>
      </c>
      <c r="B48" s="3" t="s">
        <v>122</v>
      </c>
      <c r="C48" s="3" t="s">
        <v>44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3"/>
        <v>192</v>
      </c>
      <c r="J48" s="5">
        <v>500</v>
      </c>
      <c r="K48" s="6">
        <f t="shared" si="4"/>
        <v>0.38400000000000001</v>
      </c>
      <c r="L48" s="7">
        <f t="shared" si="5"/>
        <v>0.61599999999999999</v>
      </c>
    </row>
    <row r="49" spans="1:12" x14ac:dyDescent="0.3">
      <c r="A49" s="2" t="s">
        <v>123</v>
      </c>
      <c r="B49" s="3" t="s">
        <v>124</v>
      </c>
      <c r="C49" s="3" t="s">
        <v>47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3"/>
        <v>233</v>
      </c>
      <c r="J49" s="5">
        <v>500</v>
      </c>
      <c r="K49" s="6">
        <f t="shared" si="4"/>
        <v>0.46600000000000003</v>
      </c>
      <c r="L49" s="7">
        <f t="shared" si="5"/>
        <v>0.53400000000000003</v>
      </c>
    </row>
    <row r="50" spans="1:12" x14ac:dyDescent="0.3">
      <c r="A50" s="2" t="s">
        <v>125</v>
      </c>
      <c r="B50" s="3" t="s">
        <v>126</v>
      </c>
      <c r="C50" s="3" t="s">
        <v>27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3"/>
        <v>292</v>
      </c>
      <c r="J50" s="5">
        <v>500</v>
      </c>
      <c r="K50" s="6">
        <f t="shared" si="4"/>
        <v>0.58399999999999996</v>
      </c>
      <c r="L50" s="7">
        <f t="shared" si="5"/>
        <v>0.41600000000000004</v>
      </c>
    </row>
    <row r="51" spans="1:12" x14ac:dyDescent="0.3">
      <c r="A51" s="2" t="s">
        <v>127</v>
      </c>
      <c r="B51" s="3" t="s">
        <v>128</v>
      </c>
      <c r="C51" s="3" t="s">
        <v>30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3"/>
        <v>340</v>
      </c>
      <c r="J51" s="5">
        <v>500</v>
      </c>
      <c r="K51" s="6">
        <f t="shared" si="4"/>
        <v>0.68</v>
      </c>
      <c r="L51" s="7">
        <f t="shared" si="5"/>
        <v>0.31999999999999995</v>
      </c>
    </row>
    <row r="52" spans="1:12" x14ac:dyDescent="0.3">
      <c r="A52" s="2" t="s">
        <v>129</v>
      </c>
      <c r="B52" s="3" t="s">
        <v>130</v>
      </c>
      <c r="C52" s="3" t="s">
        <v>32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3"/>
        <v>270</v>
      </c>
      <c r="J52" s="5">
        <v>500</v>
      </c>
      <c r="K52" s="6">
        <f t="shared" si="4"/>
        <v>0.54</v>
      </c>
      <c r="L52" s="7">
        <f t="shared" si="5"/>
        <v>0.45999999999999996</v>
      </c>
    </row>
    <row r="53" spans="1:12" x14ac:dyDescent="0.3">
      <c r="A53" s="2" t="s">
        <v>131</v>
      </c>
      <c r="B53" s="3" t="s">
        <v>132</v>
      </c>
      <c r="C53" s="3" t="s">
        <v>35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3"/>
        <v>249</v>
      </c>
      <c r="J53" s="5">
        <v>500</v>
      </c>
      <c r="K53" s="6">
        <f t="shared" si="4"/>
        <v>0.498</v>
      </c>
      <c r="L53" s="7">
        <f t="shared" si="5"/>
        <v>0.502</v>
      </c>
    </row>
    <row r="54" spans="1:12" x14ac:dyDescent="0.3">
      <c r="A54" s="2" t="s">
        <v>133</v>
      </c>
      <c r="B54" s="3" t="s">
        <v>134</v>
      </c>
      <c r="C54" s="3" t="s">
        <v>38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3"/>
        <v>322</v>
      </c>
      <c r="J54" s="5">
        <v>500</v>
      </c>
      <c r="K54" s="6">
        <f t="shared" si="4"/>
        <v>0.64400000000000002</v>
      </c>
      <c r="L54" s="7">
        <f t="shared" si="5"/>
        <v>0.35599999999999998</v>
      </c>
    </row>
    <row r="55" spans="1:12" x14ac:dyDescent="0.3">
      <c r="A55" s="2" t="s">
        <v>135</v>
      </c>
      <c r="B55" s="3" t="s">
        <v>136</v>
      </c>
      <c r="C55" s="3" t="s">
        <v>41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3"/>
        <v>189</v>
      </c>
      <c r="J55" s="5">
        <v>500</v>
      </c>
      <c r="K55" s="6">
        <f t="shared" si="4"/>
        <v>0.378</v>
      </c>
      <c r="L55" s="7">
        <f t="shared" si="5"/>
        <v>0.622</v>
      </c>
    </row>
    <row r="56" spans="1:12" x14ac:dyDescent="0.3">
      <c r="A56" s="2" t="s">
        <v>137</v>
      </c>
      <c r="B56" s="3" t="s">
        <v>138</v>
      </c>
      <c r="C56" s="3" t="s">
        <v>44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3"/>
        <v>260</v>
      </c>
      <c r="J56" s="5">
        <v>500</v>
      </c>
      <c r="K56" s="6">
        <f t="shared" si="4"/>
        <v>0.52</v>
      </c>
      <c r="L56" s="7">
        <f t="shared" si="5"/>
        <v>0.48</v>
      </c>
    </row>
    <row r="57" spans="1:12" x14ac:dyDescent="0.3">
      <c r="A57" s="2" t="s">
        <v>139</v>
      </c>
      <c r="B57" s="3" t="s">
        <v>140</v>
      </c>
      <c r="C57" s="3" t="s">
        <v>47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3"/>
        <v>192</v>
      </c>
      <c r="J57" s="5">
        <v>500</v>
      </c>
      <c r="K57" s="6">
        <f t="shared" si="4"/>
        <v>0.38400000000000001</v>
      </c>
      <c r="L57" s="7">
        <f t="shared" si="5"/>
        <v>0.61599999999999999</v>
      </c>
    </row>
    <row r="58" spans="1:12" x14ac:dyDescent="0.3">
      <c r="A58" s="2" t="s">
        <v>141</v>
      </c>
      <c r="B58" s="3" t="s">
        <v>142</v>
      </c>
      <c r="C58" s="3" t="s">
        <v>27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3"/>
        <v>284</v>
      </c>
      <c r="J58" s="5">
        <v>500</v>
      </c>
      <c r="K58" s="6">
        <f t="shared" si="4"/>
        <v>0.56799999999999995</v>
      </c>
      <c r="L58" s="7">
        <f t="shared" si="5"/>
        <v>0.43200000000000005</v>
      </c>
    </row>
    <row r="59" spans="1:12" x14ac:dyDescent="0.3">
      <c r="A59" s="2" t="s">
        <v>143</v>
      </c>
      <c r="B59" s="3" t="s">
        <v>144</v>
      </c>
      <c r="C59" s="3" t="s">
        <v>30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3"/>
        <v>292</v>
      </c>
      <c r="J59" s="5">
        <v>500</v>
      </c>
      <c r="K59" s="6">
        <f t="shared" si="4"/>
        <v>0.58399999999999996</v>
      </c>
      <c r="L59" s="7">
        <f t="shared" si="5"/>
        <v>0.41600000000000004</v>
      </c>
    </row>
    <row r="60" spans="1:12" x14ac:dyDescent="0.3">
      <c r="A60" s="2" t="s">
        <v>145</v>
      </c>
      <c r="B60" s="3" t="s">
        <v>146</v>
      </c>
      <c r="C60" s="3" t="s">
        <v>32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3"/>
        <v>300</v>
      </c>
      <c r="J60" s="5">
        <v>500</v>
      </c>
      <c r="K60" s="6">
        <f t="shared" si="4"/>
        <v>0.6</v>
      </c>
      <c r="L60" s="7">
        <f t="shared" si="5"/>
        <v>0.4</v>
      </c>
    </row>
    <row r="61" spans="1:12" x14ac:dyDescent="0.3">
      <c r="A61" s="2" t="s">
        <v>147</v>
      </c>
      <c r="B61" s="3" t="s">
        <v>148</v>
      </c>
      <c r="C61" s="3" t="s">
        <v>35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3"/>
        <v>264</v>
      </c>
      <c r="J61" s="5">
        <v>500</v>
      </c>
      <c r="K61" s="6">
        <f t="shared" si="4"/>
        <v>0.52800000000000002</v>
      </c>
      <c r="L61" s="7">
        <f t="shared" si="5"/>
        <v>0.47199999999999998</v>
      </c>
    </row>
    <row r="62" spans="1:12" x14ac:dyDescent="0.3">
      <c r="A62" s="2" t="s">
        <v>149</v>
      </c>
      <c r="B62" s="3" t="s">
        <v>150</v>
      </c>
      <c r="C62" s="3" t="s">
        <v>38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3"/>
        <v>217</v>
      </c>
      <c r="J62" s="5">
        <v>500</v>
      </c>
      <c r="K62" s="6">
        <f t="shared" si="4"/>
        <v>0.434</v>
      </c>
      <c r="L62" s="7">
        <f t="shared" si="5"/>
        <v>0.56600000000000006</v>
      </c>
    </row>
    <row r="63" spans="1:12" x14ac:dyDescent="0.3">
      <c r="A63" s="2" t="s">
        <v>151</v>
      </c>
      <c r="B63" s="3" t="s">
        <v>152</v>
      </c>
      <c r="C63" s="3" t="s">
        <v>41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3"/>
        <v>246</v>
      </c>
      <c r="J63" s="5">
        <v>500</v>
      </c>
      <c r="K63" s="6">
        <f t="shared" si="4"/>
        <v>0.49199999999999999</v>
      </c>
      <c r="L63" s="7">
        <f t="shared" si="5"/>
        <v>0.50800000000000001</v>
      </c>
    </row>
    <row r="64" spans="1:12" x14ac:dyDescent="0.3">
      <c r="A64" s="2" t="s">
        <v>153</v>
      </c>
      <c r="B64" s="3" t="s">
        <v>154</v>
      </c>
      <c r="C64" s="3" t="s">
        <v>44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3"/>
        <v>267</v>
      </c>
      <c r="J64" s="5">
        <v>500</v>
      </c>
      <c r="K64" s="6">
        <f t="shared" si="4"/>
        <v>0.53400000000000003</v>
      </c>
      <c r="L64" s="7">
        <f t="shared" si="5"/>
        <v>0.46599999999999997</v>
      </c>
    </row>
    <row r="65" spans="1:12" x14ac:dyDescent="0.3">
      <c r="A65" s="2" t="s">
        <v>155</v>
      </c>
      <c r="B65" s="3" t="s">
        <v>156</v>
      </c>
      <c r="C65" s="3" t="s">
        <v>47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3"/>
        <v>385</v>
      </c>
      <c r="J65" s="5">
        <v>500</v>
      </c>
      <c r="K65" s="6">
        <f t="shared" si="4"/>
        <v>0.77</v>
      </c>
      <c r="L65" s="7">
        <f t="shared" si="5"/>
        <v>0.22999999999999998</v>
      </c>
    </row>
    <row r="66" spans="1:12" x14ac:dyDescent="0.3">
      <c r="A66" s="2" t="s">
        <v>157</v>
      </c>
      <c r="B66" s="3" t="s">
        <v>158</v>
      </c>
      <c r="C66" s="3" t="s">
        <v>27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ref="I66:I97" si="6">SUM(D66:H66)</f>
        <v>328</v>
      </c>
      <c r="J66" s="5">
        <v>500</v>
      </c>
      <c r="K66" s="6">
        <f t="shared" ref="K66:K97" si="7">I66/J66</f>
        <v>0.65600000000000003</v>
      </c>
      <c r="L66" s="7">
        <f t="shared" ref="L66:L97" si="8">100%-K66</f>
        <v>0.34399999999999997</v>
      </c>
    </row>
    <row r="67" spans="1:12" x14ac:dyDescent="0.3">
      <c r="A67" s="2" t="s">
        <v>159</v>
      </c>
      <c r="B67" s="3" t="s">
        <v>160</v>
      </c>
      <c r="C67" s="3" t="s">
        <v>30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si="6"/>
        <v>166</v>
      </c>
      <c r="J67" s="5">
        <v>500</v>
      </c>
      <c r="K67" s="6">
        <f t="shared" si="7"/>
        <v>0.33200000000000002</v>
      </c>
      <c r="L67" s="7">
        <f t="shared" si="8"/>
        <v>0.66799999999999993</v>
      </c>
    </row>
    <row r="68" spans="1:12" x14ac:dyDescent="0.3">
      <c r="A68" s="2" t="s">
        <v>161</v>
      </c>
      <c r="B68" s="3" t="s">
        <v>10</v>
      </c>
      <c r="C68" s="3" t="s">
        <v>32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6"/>
        <v>342</v>
      </c>
      <c r="J68" s="5">
        <v>500</v>
      </c>
      <c r="K68" s="6">
        <f t="shared" si="7"/>
        <v>0.68400000000000005</v>
      </c>
      <c r="L68" s="7">
        <f t="shared" si="8"/>
        <v>0.31599999999999995</v>
      </c>
    </row>
    <row r="69" spans="1:12" x14ac:dyDescent="0.3">
      <c r="A69" s="2" t="s">
        <v>162</v>
      </c>
      <c r="B69" s="3" t="s">
        <v>163</v>
      </c>
      <c r="C69" s="3" t="s">
        <v>35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6"/>
        <v>293</v>
      </c>
      <c r="J69" s="5">
        <v>500</v>
      </c>
      <c r="K69" s="6">
        <f t="shared" si="7"/>
        <v>0.58599999999999997</v>
      </c>
      <c r="L69" s="7">
        <f t="shared" si="8"/>
        <v>0.41400000000000003</v>
      </c>
    </row>
    <row r="70" spans="1:12" x14ac:dyDescent="0.3">
      <c r="A70" s="2" t="s">
        <v>164</v>
      </c>
      <c r="B70" s="3" t="s">
        <v>165</v>
      </c>
      <c r="C70" s="3" t="s">
        <v>38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6"/>
        <v>171</v>
      </c>
      <c r="J70" s="5">
        <v>500</v>
      </c>
      <c r="K70" s="6">
        <f t="shared" si="7"/>
        <v>0.34200000000000003</v>
      </c>
      <c r="L70" s="7">
        <f t="shared" si="8"/>
        <v>0.65799999999999992</v>
      </c>
    </row>
    <row r="71" spans="1:12" x14ac:dyDescent="0.3">
      <c r="A71" s="2" t="s">
        <v>166</v>
      </c>
      <c r="B71" s="3" t="s">
        <v>167</v>
      </c>
      <c r="C71" s="3" t="s">
        <v>41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6"/>
        <v>229</v>
      </c>
      <c r="J71" s="5">
        <v>500</v>
      </c>
      <c r="K71" s="6">
        <f t="shared" si="7"/>
        <v>0.45800000000000002</v>
      </c>
      <c r="L71" s="7">
        <f t="shared" si="8"/>
        <v>0.54200000000000004</v>
      </c>
    </row>
    <row r="72" spans="1:12" x14ac:dyDescent="0.3">
      <c r="A72" s="2" t="s">
        <v>168</v>
      </c>
      <c r="B72" s="3" t="s">
        <v>169</v>
      </c>
      <c r="C72" s="3" t="s">
        <v>44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6"/>
        <v>156</v>
      </c>
      <c r="J72" s="5">
        <v>500</v>
      </c>
      <c r="K72" s="6">
        <f t="shared" si="7"/>
        <v>0.312</v>
      </c>
      <c r="L72" s="7">
        <f t="shared" si="8"/>
        <v>0.68799999999999994</v>
      </c>
    </row>
    <row r="73" spans="1:12" x14ac:dyDescent="0.3">
      <c r="A73" s="2" t="s">
        <v>170</v>
      </c>
      <c r="B73" s="3" t="s">
        <v>171</v>
      </c>
      <c r="C73" s="3" t="s">
        <v>47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6"/>
        <v>208</v>
      </c>
      <c r="J73" s="5">
        <v>500</v>
      </c>
      <c r="K73" s="6">
        <f t="shared" si="7"/>
        <v>0.41599999999999998</v>
      </c>
      <c r="L73" s="7">
        <f t="shared" si="8"/>
        <v>0.58400000000000007</v>
      </c>
    </row>
    <row r="74" spans="1:12" x14ac:dyDescent="0.3">
      <c r="A74" s="2" t="s">
        <v>172</v>
      </c>
      <c r="B74" s="3" t="s">
        <v>173</v>
      </c>
      <c r="C74" s="3" t="s">
        <v>27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6"/>
        <v>143</v>
      </c>
      <c r="J74" s="5">
        <v>500</v>
      </c>
      <c r="K74" s="6">
        <f t="shared" si="7"/>
        <v>0.28599999999999998</v>
      </c>
      <c r="L74" s="7">
        <f t="shared" si="8"/>
        <v>0.71399999999999997</v>
      </c>
    </row>
    <row r="75" spans="1:12" x14ac:dyDescent="0.3">
      <c r="A75" s="2" t="s">
        <v>174</v>
      </c>
      <c r="B75" s="3" t="s">
        <v>175</v>
      </c>
      <c r="C75" s="3" t="s">
        <v>30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6"/>
        <v>254</v>
      </c>
      <c r="J75" s="5">
        <v>500</v>
      </c>
      <c r="K75" s="6">
        <f t="shared" si="7"/>
        <v>0.50800000000000001</v>
      </c>
      <c r="L75" s="7">
        <f t="shared" si="8"/>
        <v>0.49199999999999999</v>
      </c>
    </row>
    <row r="76" spans="1:12" x14ac:dyDescent="0.3">
      <c r="A76" s="2" t="s">
        <v>176</v>
      </c>
      <c r="B76" s="3" t="s">
        <v>9</v>
      </c>
      <c r="C76" s="3" t="s">
        <v>32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6"/>
        <v>224</v>
      </c>
      <c r="J76" s="5">
        <v>500</v>
      </c>
      <c r="K76" s="6">
        <f t="shared" si="7"/>
        <v>0.44800000000000001</v>
      </c>
      <c r="L76" s="7">
        <f t="shared" si="8"/>
        <v>0.55200000000000005</v>
      </c>
    </row>
    <row r="77" spans="1:12" x14ac:dyDescent="0.3">
      <c r="A77" s="2" t="s">
        <v>177</v>
      </c>
      <c r="B77" s="3" t="s">
        <v>178</v>
      </c>
      <c r="C77" s="3" t="s">
        <v>35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6"/>
        <v>287</v>
      </c>
      <c r="J77" s="5">
        <v>500</v>
      </c>
      <c r="K77" s="6">
        <f t="shared" si="7"/>
        <v>0.57399999999999995</v>
      </c>
      <c r="L77" s="7">
        <f t="shared" si="8"/>
        <v>0.42600000000000005</v>
      </c>
    </row>
    <row r="78" spans="1:12" x14ac:dyDescent="0.3">
      <c r="A78" s="2" t="s">
        <v>179</v>
      </c>
      <c r="B78" s="3" t="s">
        <v>180</v>
      </c>
      <c r="C78" s="3" t="s">
        <v>38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6"/>
        <v>286</v>
      </c>
      <c r="J78" s="5">
        <v>500</v>
      </c>
      <c r="K78" s="6">
        <f t="shared" si="7"/>
        <v>0.57199999999999995</v>
      </c>
      <c r="L78" s="7">
        <f t="shared" si="8"/>
        <v>0.42800000000000005</v>
      </c>
    </row>
    <row r="79" spans="1:12" x14ac:dyDescent="0.3">
      <c r="A79" s="2" t="s">
        <v>181</v>
      </c>
      <c r="B79" s="3" t="s">
        <v>182</v>
      </c>
      <c r="C79" s="3" t="s">
        <v>41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6"/>
        <v>245</v>
      </c>
      <c r="J79" s="5">
        <v>500</v>
      </c>
      <c r="K79" s="6">
        <f t="shared" si="7"/>
        <v>0.49</v>
      </c>
      <c r="L79" s="7">
        <f t="shared" si="8"/>
        <v>0.51</v>
      </c>
    </row>
    <row r="80" spans="1:12" x14ac:dyDescent="0.3">
      <c r="A80" s="2" t="s">
        <v>183</v>
      </c>
      <c r="B80" s="3" t="s">
        <v>184</v>
      </c>
      <c r="C80" s="3" t="s">
        <v>44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6"/>
        <v>281</v>
      </c>
      <c r="J80" s="5">
        <v>500</v>
      </c>
      <c r="K80" s="6">
        <f t="shared" si="7"/>
        <v>0.56200000000000006</v>
      </c>
      <c r="L80" s="7">
        <f t="shared" si="8"/>
        <v>0.43799999999999994</v>
      </c>
    </row>
    <row r="81" spans="1:12" x14ac:dyDescent="0.3">
      <c r="A81" s="2" t="s">
        <v>185</v>
      </c>
      <c r="B81" s="3" t="s">
        <v>186</v>
      </c>
      <c r="C81" s="3" t="s">
        <v>47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6"/>
        <v>317</v>
      </c>
      <c r="J81" s="5">
        <v>500</v>
      </c>
      <c r="K81" s="6">
        <f t="shared" si="7"/>
        <v>0.63400000000000001</v>
      </c>
      <c r="L81" s="7">
        <f t="shared" si="8"/>
        <v>0.36599999999999999</v>
      </c>
    </row>
    <row r="82" spans="1:12" x14ac:dyDescent="0.3">
      <c r="A82" s="2" t="s">
        <v>187</v>
      </c>
      <c r="B82" s="3" t="s">
        <v>188</v>
      </c>
      <c r="C82" s="3" t="s">
        <v>27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6"/>
        <v>351</v>
      </c>
      <c r="J82" s="5">
        <v>500</v>
      </c>
      <c r="K82" s="6">
        <f t="shared" si="7"/>
        <v>0.70199999999999996</v>
      </c>
      <c r="L82" s="7">
        <f t="shared" si="8"/>
        <v>0.29800000000000004</v>
      </c>
    </row>
    <row r="83" spans="1:12" x14ac:dyDescent="0.3">
      <c r="A83" s="2" t="s">
        <v>189</v>
      </c>
      <c r="B83" s="3" t="s">
        <v>190</v>
      </c>
      <c r="C83" s="3" t="s">
        <v>30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6"/>
        <v>209</v>
      </c>
      <c r="J83" s="5">
        <v>500</v>
      </c>
      <c r="K83" s="6">
        <f t="shared" si="7"/>
        <v>0.41799999999999998</v>
      </c>
      <c r="L83" s="7">
        <f t="shared" si="8"/>
        <v>0.58200000000000007</v>
      </c>
    </row>
    <row r="84" spans="1:12" x14ac:dyDescent="0.3">
      <c r="A84" s="2" t="s">
        <v>191</v>
      </c>
      <c r="B84" s="3" t="s">
        <v>192</v>
      </c>
      <c r="C84" s="3" t="s">
        <v>32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6"/>
        <v>290</v>
      </c>
      <c r="J84" s="5">
        <v>500</v>
      </c>
      <c r="K84" s="6">
        <f t="shared" si="7"/>
        <v>0.57999999999999996</v>
      </c>
      <c r="L84" s="7">
        <f t="shared" si="8"/>
        <v>0.42000000000000004</v>
      </c>
    </row>
    <row r="85" spans="1:12" x14ac:dyDescent="0.3">
      <c r="A85" s="2" t="s">
        <v>193</v>
      </c>
      <c r="B85" s="3" t="s">
        <v>194</v>
      </c>
      <c r="C85" s="3" t="s">
        <v>35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6"/>
        <v>384</v>
      </c>
      <c r="J85" s="5">
        <v>500</v>
      </c>
      <c r="K85" s="6">
        <f t="shared" si="7"/>
        <v>0.76800000000000002</v>
      </c>
      <c r="L85" s="7">
        <f t="shared" si="8"/>
        <v>0.23199999999999998</v>
      </c>
    </row>
    <row r="86" spans="1:12" x14ac:dyDescent="0.3">
      <c r="A86" s="2" t="s">
        <v>195</v>
      </c>
      <c r="B86" s="3" t="s">
        <v>196</v>
      </c>
      <c r="C86" s="3" t="s">
        <v>38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6"/>
        <v>349</v>
      </c>
      <c r="J86" s="5">
        <v>500</v>
      </c>
      <c r="K86" s="6">
        <f t="shared" si="7"/>
        <v>0.69799999999999995</v>
      </c>
      <c r="L86" s="7">
        <f t="shared" si="8"/>
        <v>0.30200000000000005</v>
      </c>
    </row>
    <row r="87" spans="1:12" x14ac:dyDescent="0.3">
      <c r="A87" s="2" t="s">
        <v>197</v>
      </c>
      <c r="B87" s="3" t="s">
        <v>198</v>
      </c>
      <c r="C87" s="3" t="s">
        <v>41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6"/>
        <v>215</v>
      </c>
      <c r="J87" s="5">
        <v>500</v>
      </c>
      <c r="K87" s="6">
        <f t="shared" si="7"/>
        <v>0.43</v>
      </c>
      <c r="L87" s="7">
        <f t="shared" si="8"/>
        <v>0.57000000000000006</v>
      </c>
    </row>
    <row r="88" spans="1:12" x14ac:dyDescent="0.3">
      <c r="A88" s="2" t="s">
        <v>199</v>
      </c>
      <c r="B88" s="3" t="s">
        <v>200</v>
      </c>
      <c r="C88" s="3" t="s">
        <v>44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6"/>
        <v>209</v>
      </c>
      <c r="J88" s="5">
        <v>500</v>
      </c>
      <c r="K88" s="6">
        <f t="shared" si="7"/>
        <v>0.41799999999999998</v>
      </c>
      <c r="L88" s="7">
        <f t="shared" si="8"/>
        <v>0.58200000000000007</v>
      </c>
    </row>
    <row r="89" spans="1:12" x14ac:dyDescent="0.3">
      <c r="A89" s="2" t="s">
        <v>201</v>
      </c>
      <c r="B89" s="3" t="s">
        <v>202</v>
      </c>
      <c r="C89" s="3" t="s">
        <v>47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6"/>
        <v>306</v>
      </c>
      <c r="J89" s="5">
        <v>500</v>
      </c>
      <c r="K89" s="6">
        <f t="shared" si="7"/>
        <v>0.61199999999999999</v>
      </c>
      <c r="L89" s="7">
        <f t="shared" si="8"/>
        <v>0.38800000000000001</v>
      </c>
    </row>
    <row r="90" spans="1:12" x14ac:dyDescent="0.3">
      <c r="A90" s="2" t="s">
        <v>203</v>
      </c>
      <c r="B90" s="3" t="s">
        <v>204</v>
      </c>
      <c r="C90" s="3" t="s">
        <v>27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6"/>
        <v>281</v>
      </c>
      <c r="J90" s="5">
        <v>500</v>
      </c>
      <c r="K90" s="6">
        <f t="shared" si="7"/>
        <v>0.56200000000000006</v>
      </c>
      <c r="L90" s="7">
        <f t="shared" si="8"/>
        <v>0.43799999999999994</v>
      </c>
    </row>
    <row r="91" spans="1:12" x14ac:dyDescent="0.3">
      <c r="A91" s="2" t="s">
        <v>205</v>
      </c>
      <c r="B91" s="3" t="s">
        <v>206</v>
      </c>
      <c r="C91" s="3" t="s">
        <v>30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6"/>
        <v>318</v>
      </c>
      <c r="J91" s="5">
        <v>500</v>
      </c>
      <c r="K91" s="6">
        <f t="shared" si="7"/>
        <v>0.63600000000000001</v>
      </c>
      <c r="L91" s="7">
        <f t="shared" si="8"/>
        <v>0.36399999999999999</v>
      </c>
    </row>
    <row r="92" spans="1:12" x14ac:dyDescent="0.3">
      <c r="A92" s="2" t="s">
        <v>207</v>
      </c>
      <c r="B92" s="3" t="s">
        <v>208</v>
      </c>
      <c r="C92" s="3" t="s">
        <v>32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6"/>
        <v>300</v>
      </c>
      <c r="J92" s="5">
        <v>500</v>
      </c>
      <c r="K92" s="6">
        <f t="shared" si="7"/>
        <v>0.6</v>
      </c>
      <c r="L92" s="7">
        <f t="shared" si="8"/>
        <v>0.4</v>
      </c>
    </row>
    <row r="93" spans="1:12" x14ac:dyDescent="0.3">
      <c r="A93" s="2" t="s">
        <v>209</v>
      </c>
      <c r="B93" s="3" t="s">
        <v>210</v>
      </c>
      <c r="C93" s="3" t="s">
        <v>35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6"/>
        <v>281</v>
      </c>
      <c r="J93" s="5">
        <v>500</v>
      </c>
      <c r="K93" s="6">
        <f t="shared" si="7"/>
        <v>0.56200000000000006</v>
      </c>
      <c r="L93" s="7">
        <f t="shared" si="8"/>
        <v>0.43799999999999994</v>
      </c>
    </row>
    <row r="94" spans="1:12" x14ac:dyDescent="0.3">
      <c r="A94" s="2" t="s">
        <v>211</v>
      </c>
      <c r="B94" s="3" t="s">
        <v>212</v>
      </c>
      <c r="C94" s="3" t="s">
        <v>38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6"/>
        <v>245</v>
      </c>
      <c r="J94" s="5">
        <v>500</v>
      </c>
      <c r="K94" s="6">
        <f t="shared" si="7"/>
        <v>0.49</v>
      </c>
      <c r="L94" s="7">
        <f t="shared" si="8"/>
        <v>0.51</v>
      </c>
    </row>
    <row r="95" spans="1:12" x14ac:dyDescent="0.3">
      <c r="A95" s="2" t="s">
        <v>213</v>
      </c>
      <c r="B95" s="3" t="s">
        <v>214</v>
      </c>
      <c r="C95" s="3" t="s">
        <v>41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6"/>
        <v>205</v>
      </c>
      <c r="J95" s="5">
        <v>500</v>
      </c>
      <c r="K95" s="6">
        <f t="shared" si="7"/>
        <v>0.41</v>
      </c>
      <c r="L95" s="7">
        <f t="shared" si="8"/>
        <v>0.59000000000000008</v>
      </c>
    </row>
    <row r="96" spans="1:12" x14ac:dyDescent="0.3">
      <c r="A96" s="2" t="s">
        <v>215</v>
      </c>
      <c r="B96" s="3" t="s">
        <v>216</v>
      </c>
      <c r="C96" s="3" t="s">
        <v>44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6"/>
        <v>234</v>
      </c>
      <c r="J96" s="5">
        <v>500</v>
      </c>
      <c r="K96" s="6">
        <f t="shared" si="7"/>
        <v>0.46800000000000003</v>
      </c>
      <c r="L96" s="7">
        <f t="shared" si="8"/>
        <v>0.53200000000000003</v>
      </c>
    </row>
    <row r="97" spans="1:12" x14ac:dyDescent="0.3">
      <c r="A97" s="2" t="s">
        <v>217</v>
      </c>
      <c r="B97" s="3" t="s">
        <v>218</v>
      </c>
      <c r="C97" s="3" t="s">
        <v>47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6"/>
        <v>232</v>
      </c>
      <c r="J97" s="5">
        <v>500</v>
      </c>
      <c r="K97" s="6">
        <f t="shared" si="7"/>
        <v>0.46400000000000002</v>
      </c>
      <c r="L97" s="7">
        <f t="shared" si="8"/>
        <v>0.53600000000000003</v>
      </c>
    </row>
    <row r="98" spans="1:12" x14ac:dyDescent="0.3">
      <c r="A98" s="2" t="s">
        <v>219</v>
      </c>
      <c r="B98" s="3" t="s">
        <v>220</v>
      </c>
      <c r="C98" s="3" t="s">
        <v>27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ref="I98:I129" si="9">SUM(D98:H98)</f>
        <v>245</v>
      </c>
      <c r="J98" s="5">
        <v>500</v>
      </c>
      <c r="K98" s="6">
        <f t="shared" ref="K98:K129" si="10">I98/J98</f>
        <v>0.49</v>
      </c>
      <c r="L98" s="7">
        <f t="shared" ref="L98:L129" si="11">100%-K98</f>
        <v>0.51</v>
      </c>
    </row>
    <row r="99" spans="1:12" x14ac:dyDescent="0.3">
      <c r="A99" s="2" t="s">
        <v>221</v>
      </c>
      <c r="B99" s="3" t="s">
        <v>222</v>
      </c>
      <c r="C99" s="3" t="s">
        <v>30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9"/>
        <v>286</v>
      </c>
      <c r="J99" s="5">
        <v>500</v>
      </c>
      <c r="K99" s="6">
        <f t="shared" si="10"/>
        <v>0.57199999999999995</v>
      </c>
      <c r="L99" s="7">
        <f t="shared" si="11"/>
        <v>0.42800000000000005</v>
      </c>
    </row>
    <row r="100" spans="1:12" x14ac:dyDescent="0.3">
      <c r="A100" s="2" t="s">
        <v>223</v>
      </c>
      <c r="B100" s="3" t="s">
        <v>224</v>
      </c>
      <c r="C100" s="3" t="s">
        <v>32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9"/>
        <v>303</v>
      </c>
      <c r="J100" s="5">
        <v>500</v>
      </c>
      <c r="K100" s="6">
        <f t="shared" si="10"/>
        <v>0.60599999999999998</v>
      </c>
      <c r="L100" s="7">
        <f t="shared" si="11"/>
        <v>0.39400000000000002</v>
      </c>
    </row>
    <row r="101" spans="1:12" x14ac:dyDescent="0.3">
      <c r="A101" s="2" t="s">
        <v>225</v>
      </c>
      <c r="B101" s="3" t="s">
        <v>226</v>
      </c>
      <c r="C101" s="3" t="s">
        <v>35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9"/>
        <v>318</v>
      </c>
      <c r="J101" s="5">
        <v>500</v>
      </c>
      <c r="K101" s="6">
        <f t="shared" si="10"/>
        <v>0.63600000000000001</v>
      </c>
      <c r="L101" s="7">
        <f t="shared" si="11"/>
        <v>0.36399999999999999</v>
      </c>
    </row>
    <row r="102" spans="1:12" x14ac:dyDescent="0.3">
      <c r="A102" s="2" t="s">
        <v>227</v>
      </c>
      <c r="B102" s="3" t="s">
        <v>228</v>
      </c>
      <c r="C102" s="3" t="s">
        <v>38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9"/>
        <v>268</v>
      </c>
      <c r="J102" s="5">
        <v>500</v>
      </c>
      <c r="K102" s="6">
        <f t="shared" si="10"/>
        <v>0.53600000000000003</v>
      </c>
      <c r="L102" s="7">
        <f t="shared" si="11"/>
        <v>0.46399999999999997</v>
      </c>
    </row>
    <row r="103" spans="1:12" x14ac:dyDescent="0.3">
      <c r="A103" s="2" t="s">
        <v>229</v>
      </c>
      <c r="B103" s="3" t="s">
        <v>230</v>
      </c>
      <c r="C103" s="3" t="s">
        <v>41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9"/>
        <v>322</v>
      </c>
      <c r="J103" s="5">
        <v>500</v>
      </c>
      <c r="K103" s="6">
        <f t="shared" si="10"/>
        <v>0.64400000000000002</v>
      </c>
      <c r="L103" s="7">
        <f t="shared" si="11"/>
        <v>0.35599999999999998</v>
      </c>
    </row>
    <row r="104" spans="1:12" x14ac:dyDescent="0.3">
      <c r="A104" s="2" t="s">
        <v>231</v>
      </c>
      <c r="B104" s="3" t="s">
        <v>232</v>
      </c>
      <c r="C104" s="3" t="s">
        <v>44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9"/>
        <v>220</v>
      </c>
      <c r="J104" s="5">
        <v>500</v>
      </c>
      <c r="K104" s="6">
        <f t="shared" si="10"/>
        <v>0.44</v>
      </c>
      <c r="L104" s="7">
        <f t="shared" si="11"/>
        <v>0.56000000000000005</v>
      </c>
    </row>
    <row r="105" spans="1:12" x14ac:dyDescent="0.3">
      <c r="A105" s="2" t="s">
        <v>233</v>
      </c>
      <c r="B105" s="3" t="s">
        <v>234</v>
      </c>
      <c r="C105" s="3" t="s">
        <v>47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9"/>
        <v>306</v>
      </c>
      <c r="J105" s="5">
        <v>500</v>
      </c>
      <c r="K105" s="6">
        <f t="shared" si="10"/>
        <v>0.61199999999999999</v>
      </c>
      <c r="L105" s="7">
        <f t="shared" si="11"/>
        <v>0.38800000000000001</v>
      </c>
    </row>
    <row r="106" spans="1:12" x14ac:dyDescent="0.3">
      <c r="A106" s="2" t="s">
        <v>235</v>
      </c>
      <c r="B106" s="3" t="s">
        <v>236</v>
      </c>
      <c r="C106" s="3" t="s">
        <v>27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9"/>
        <v>351</v>
      </c>
      <c r="J106" s="5">
        <v>500</v>
      </c>
      <c r="K106" s="6">
        <f t="shared" si="10"/>
        <v>0.70199999999999996</v>
      </c>
      <c r="L106" s="7">
        <f t="shared" si="11"/>
        <v>0.29800000000000004</v>
      </c>
    </row>
    <row r="107" spans="1:12" x14ac:dyDescent="0.3">
      <c r="A107" s="2" t="s">
        <v>237</v>
      </c>
      <c r="B107" s="3" t="s">
        <v>238</v>
      </c>
      <c r="C107" s="3" t="s">
        <v>30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9"/>
        <v>228</v>
      </c>
      <c r="J107" s="5">
        <v>500</v>
      </c>
      <c r="K107" s="6">
        <f t="shared" si="10"/>
        <v>0.45600000000000002</v>
      </c>
      <c r="L107" s="7">
        <f t="shared" si="11"/>
        <v>0.54400000000000004</v>
      </c>
    </row>
    <row r="108" spans="1:12" x14ac:dyDescent="0.3">
      <c r="A108" s="2" t="s">
        <v>239</v>
      </c>
      <c r="B108" s="3" t="s">
        <v>8</v>
      </c>
      <c r="C108" s="3" t="s">
        <v>32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9"/>
        <v>374</v>
      </c>
      <c r="J108" s="5">
        <v>500</v>
      </c>
      <c r="K108" s="6">
        <f t="shared" si="10"/>
        <v>0.748</v>
      </c>
      <c r="L108" s="7">
        <f t="shared" si="11"/>
        <v>0.252</v>
      </c>
    </row>
    <row r="109" spans="1:12" x14ac:dyDescent="0.3">
      <c r="A109" s="2" t="s">
        <v>240</v>
      </c>
      <c r="B109" s="3" t="s">
        <v>241</v>
      </c>
      <c r="C109" s="3" t="s">
        <v>35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9"/>
        <v>211</v>
      </c>
      <c r="J109" s="5">
        <v>500</v>
      </c>
      <c r="K109" s="6">
        <f t="shared" si="10"/>
        <v>0.42199999999999999</v>
      </c>
      <c r="L109" s="7">
        <f t="shared" si="11"/>
        <v>0.57800000000000007</v>
      </c>
    </row>
    <row r="110" spans="1:12" x14ac:dyDescent="0.3">
      <c r="A110" s="2" t="s">
        <v>242</v>
      </c>
      <c r="B110" s="3" t="s">
        <v>243</v>
      </c>
      <c r="C110" s="3" t="s">
        <v>38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9"/>
        <v>236</v>
      </c>
      <c r="J110" s="5">
        <v>500</v>
      </c>
      <c r="K110" s="6">
        <f t="shared" si="10"/>
        <v>0.47199999999999998</v>
      </c>
      <c r="L110" s="7">
        <f t="shared" si="11"/>
        <v>0.52800000000000002</v>
      </c>
    </row>
    <row r="111" spans="1:12" x14ac:dyDescent="0.3">
      <c r="A111" s="2" t="s">
        <v>244</v>
      </c>
      <c r="B111" s="3" t="s">
        <v>245</v>
      </c>
      <c r="C111" s="3" t="s">
        <v>41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9"/>
        <v>355</v>
      </c>
      <c r="J111" s="5">
        <v>500</v>
      </c>
      <c r="K111" s="6">
        <f t="shared" si="10"/>
        <v>0.71</v>
      </c>
      <c r="L111" s="7">
        <f t="shared" si="11"/>
        <v>0.29000000000000004</v>
      </c>
    </row>
    <row r="112" spans="1:12" x14ac:dyDescent="0.3">
      <c r="A112" s="2" t="s">
        <v>246</v>
      </c>
      <c r="B112" s="3" t="s">
        <v>247</v>
      </c>
      <c r="C112" s="3" t="s">
        <v>44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9"/>
        <v>320</v>
      </c>
      <c r="J112" s="5">
        <v>500</v>
      </c>
      <c r="K112" s="6">
        <f t="shared" si="10"/>
        <v>0.64</v>
      </c>
      <c r="L112" s="7">
        <f t="shared" si="11"/>
        <v>0.36</v>
      </c>
    </row>
    <row r="113" spans="1:12" x14ac:dyDescent="0.3">
      <c r="A113" s="2" t="s">
        <v>248</v>
      </c>
      <c r="B113" s="3" t="s">
        <v>249</v>
      </c>
      <c r="C113" s="3" t="s">
        <v>47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9"/>
        <v>389</v>
      </c>
      <c r="J113" s="5">
        <v>500</v>
      </c>
      <c r="K113" s="6">
        <f t="shared" si="10"/>
        <v>0.77800000000000002</v>
      </c>
      <c r="L113" s="7">
        <f t="shared" si="11"/>
        <v>0.22199999999999998</v>
      </c>
    </row>
    <row r="114" spans="1:12" x14ac:dyDescent="0.3">
      <c r="A114" s="2" t="s">
        <v>250</v>
      </c>
      <c r="B114" s="3" t="s">
        <v>251</v>
      </c>
      <c r="C114" s="3" t="s">
        <v>27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9"/>
        <v>311</v>
      </c>
      <c r="J114" s="5">
        <v>500</v>
      </c>
      <c r="K114" s="6">
        <f t="shared" si="10"/>
        <v>0.622</v>
      </c>
      <c r="L114" s="7">
        <f t="shared" si="11"/>
        <v>0.378</v>
      </c>
    </row>
    <row r="115" spans="1:12" x14ac:dyDescent="0.3">
      <c r="A115" s="2" t="s">
        <v>252</v>
      </c>
      <c r="B115" s="3" t="s">
        <v>253</v>
      </c>
      <c r="C115" s="3" t="s">
        <v>30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9"/>
        <v>243</v>
      </c>
      <c r="J115" s="5">
        <v>500</v>
      </c>
      <c r="K115" s="6">
        <f t="shared" si="10"/>
        <v>0.48599999999999999</v>
      </c>
      <c r="L115" s="7">
        <f t="shared" si="11"/>
        <v>0.51400000000000001</v>
      </c>
    </row>
    <row r="116" spans="1:12" x14ac:dyDescent="0.3">
      <c r="A116" s="2" t="s">
        <v>254</v>
      </c>
      <c r="B116" s="3" t="s">
        <v>7</v>
      </c>
      <c r="C116" s="3" t="s">
        <v>32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9"/>
        <v>214</v>
      </c>
      <c r="J116" s="5">
        <v>500</v>
      </c>
      <c r="K116" s="6">
        <f t="shared" si="10"/>
        <v>0.42799999999999999</v>
      </c>
      <c r="L116" s="7">
        <f t="shared" si="11"/>
        <v>0.57200000000000006</v>
      </c>
    </row>
    <row r="117" spans="1:12" x14ac:dyDescent="0.3">
      <c r="A117" s="2" t="s">
        <v>255</v>
      </c>
      <c r="B117" s="3" t="s">
        <v>256</v>
      </c>
      <c r="C117" s="3" t="s">
        <v>35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9"/>
        <v>283</v>
      </c>
      <c r="J117" s="5">
        <v>500</v>
      </c>
      <c r="K117" s="6">
        <f t="shared" si="10"/>
        <v>0.56599999999999995</v>
      </c>
      <c r="L117" s="7">
        <f t="shared" si="11"/>
        <v>0.43400000000000005</v>
      </c>
    </row>
    <row r="118" spans="1:12" x14ac:dyDescent="0.3">
      <c r="A118" s="2" t="s">
        <v>257</v>
      </c>
      <c r="B118" s="3" t="s">
        <v>258</v>
      </c>
      <c r="C118" s="3" t="s">
        <v>38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9"/>
        <v>166</v>
      </c>
      <c r="J118" s="5">
        <v>500</v>
      </c>
      <c r="K118" s="6">
        <f t="shared" si="10"/>
        <v>0.33200000000000002</v>
      </c>
      <c r="L118" s="7">
        <f t="shared" si="11"/>
        <v>0.66799999999999993</v>
      </c>
    </row>
    <row r="119" spans="1:12" x14ac:dyDescent="0.3">
      <c r="A119" s="2" t="s">
        <v>259</v>
      </c>
      <c r="B119" s="3" t="s">
        <v>260</v>
      </c>
      <c r="C119" s="3" t="s">
        <v>41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9"/>
        <v>280</v>
      </c>
      <c r="J119" s="5">
        <v>500</v>
      </c>
      <c r="K119" s="6">
        <f t="shared" si="10"/>
        <v>0.56000000000000005</v>
      </c>
      <c r="L119" s="7">
        <f t="shared" si="11"/>
        <v>0.43999999999999995</v>
      </c>
    </row>
    <row r="120" spans="1:12" x14ac:dyDescent="0.3">
      <c r="A120" s="2" t="s">
        <v>261</v>
      </c>
      <c r="B120" s="3" t="s">
        <v>262</v>
      </c>
      <c r="C120" s="3" t="s">
        <v>44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9"/>
        <v>258</v>
      </c>
      <c r="J120" s="5">
        <v>500</v>
      </c>
      <c r="K120" s="6">
        <f t="shared" si="10"/>
        <v>0.51600000000000001</v>
      </c>
      <c r="L120" s="7">
        <f t="shared" si="11"/>
        <v>0.48399999999999999</v>
      </c>
    </row>
    <row r="121" spans="1:12" x14ac:dyDescent="0.3">
      <c r="A121" s="2" t="s">
        <v>263</v>
      </c>
      <c r="B121" s="3" t="s">
        <v>264</v>
      </c>
      <c r="C121" s="3" t="s">
        <v>47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9"/>
        <v>316</v>
      </c>
      <c r="J121" s="5">
        <v>500</v>
      </c>
      <c r="K121" s="6">
        <f t="shared" si="10"/>
        <v>0.63200000000000001</v>
      </c>
      <c r="L121" s="7">
        <f t="shared" si="11"/>
        <v>0.36799999999999999</v>
      </c>
    </row>
    <row r="122" spans="1:12" x14ac:dyDescent="0.3">
      <c r="A122" s="2" t="s">
        <v>265</v>
      </c>
      <c r="B122" s="3" t="s">
        <v>266</v>
      </c>
      <c r="C122" s="3" t="s">
        <v>27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9"/>
        <v>300</v>
      </c>
      <c r="J122" s="5">
        <v>500</v>
      </c>
      <c r="K122" s="6">
        <f t="shared" si="10"/>
        <v>0.6</v>
      </c>
      <c r="L122" s="7">
        <f t="shared" si="11"/>
        <v>0.4</v>
      </c>
    </row>
    <row r="123" spans="1:12" x14ac:dyDescent="0.3">
      <c r="A123" s="2" t="s">
        <v>267</v>
      </c>
      <c r="B123" s="3" t="s">
        <v>268</v>
      </c>
      <c r="C123" s="3" t="s">
        <v>30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9"/>
        <v>327</v>
      </c>
      <c r="J123" s="5">
        <v>500</v>
      </c>
      <c r="K123" s="6">
        <f t="shared" si="10"/>
        <v>0.65400000000000003</v>
      </c>
      <c r="L123" s="7">
        <f t="shared" si="11"/>
        <v>0.34599999999999997</v>
      </c>
    </row>
    <row r="124" spans="1:12" x14ac:dyDescent="0.3">
      <c r="A124" s="2" t="s">
        <v>269</v>
      </c>
      <c r="B124" s="3" t="s">
        <v>5</v>
      </c>
      <c r="C124" s="3" t="s">
        <v>32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9"/>
        <v>224</v>
      </c>
      <c r="J124" s="5">
        <v>500</v>
      </c>
      <c r="K124" s="6">
        <f t="shared" si="10"/>
        <v>0.44800000000000001</v>
      </c>
      <c r="L124" s="7">
        <f t="shared" si="11"/>
        <v>0.55200000000000005</v>
      </c>
    </row>
    <row r="125" spans="1:12" x14ac:dyDescent="0.3">
      <c r="A125" s="2" t="s">
        <v>270</v>
      </c>
      <c r="B125" s="3" t="s">
        <v>271</v>
      </c>
      <c r="C125" s="3" t="s">
        <v>35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9"/>
        <v>245</v>
      </c>
      <c r="J125" s="5">
        <v>500</v>
      </c>
      <c r="K125" s="6">
        <f t="shared" si="10"/>
        <v>0.49</v>
      </c>
      <c r="L125" s="7">
        <f t="shared" si="11"/>
        <v>0.51</v>
      </c>
    </row>
    <row r="126" spans="1:12" x14ac:dyDescent="0.3">
      <c r="A126" s="2" t="s">
        <v>272</v>
      </c>
      <c r="B126" s="3" t="s">
        <v>273</v>
      </c>
      <c r="C126" s="3" t="s">
        <v>38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9"/>
        <v>302</v>
      </c>
      <c r="J126" s="5">
        <v>500</v>
      </c>
      <c r="K126" s="6">
        <f t="shared" si="10"/>
        <v>0.60399999999999998</v>
      </c>
      <c r="L126" s="7">
        <f t="shared" si="11"/>
        <v>0.39600000000000002</v>
      </c>
    </row>
    <row r="127" spans="1:12" x14ac:dyDescent="0.3">
      <c r="A127" s="2" t="s">
        <v>274</v>
      </c>
      <c r="B127" s="3" t="s">
        <v>275</v>
      </c>
      <c r="C127" s="3" t="s">
        <v>41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9"/>
        <v>273</v>
      </c>
      <c r="J127" s="5">
        <v>500</v>
      </c>
      <c r="K127" s="6">
        <f t="shared" si="10"/>
        <v>0.54600000000000004</v>
      </c>
      <c r="L127" s="7">
        <f t="shared" si="11"/>
        <v>0.45399999999999996</v>
      </c>
    </row>
    <row r="128" spans="1:12" x14ac:dyDescent="0.3">
      <c r="A128" s="2" t="s">
        <v>276</v>
      </c>
      <c r="B128" s="3" t="s">
        <v>277</v>
      </c>
      <c r="C128" s="3" t="s">
        <v>44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9"/>
        <v>322</v>
      </c>
      <c r="J128" s="5">
        <v>500</v>
      </c>
      <c r="K128" s="6">
        <f t="shared" si="10"/>
        <v>0.64400000000000002</v>
      </c>
      <c r="L128" s="7">
        <f t="shared" si="11"/>
        <v>0.35599999999999998</v>
      </c>
    </row>
    <row r="129" spans="1:12" x14ac:dyDescent="0.3">
      <c r="A129" s="2" t="s">
        <v>278</v>
      </c>
      <c r="B129" s="3" t="s">
        <v>279</v>
      </c>
      <c r="C129" s="3" t="s">
        <v>47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9"/>
        <v>183</v>
      </c>
      <c r="J129" s="5">
        <v>500</v>
      </c>
      <c r="K129" s="6">
        <f t="shared" si="10"/>
        <v>0.36599999999999999</v>
      </c>
      <c r="L129" s="7">
        <f t="shared" si="11"/>
        <v>0.63400000000000001</v>
      </c>
    </row>
    <row r="130" spans="1:12" x14ac:dyDescent="0.3">
      <c r="A130" s="2" t="s">
        <v>280</v>
      </c>
      <c r="B130" s="3" t="s">
        <v>281</v>
      </c>
      <c r="C130" s="3" t="s">
        <v>27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ref="I130:I142" si="12">SUM(D130:H130)</f>
        <v>306</v>
      </c>
      <c r="J130" s="5">
        <v>500</v>
      </c>
      <c r="K130" s="6">
        <f t="shared" ref="K130:K142" si="13">I130/J130</f>
        <v>0.61199999999999999</v>
      </c>
      <c r="L130" s="7">
        <f t="shared" ref="L130:L142" si="14">100%-K130</f>
        <v>0.38800000000000001</v>
      </c>
    </row>
    <row r="131" spans="1:12" x14ac:dyDescent="0.3">
      <c r="A131" s="2" t="s">
        <v>282</v>
      </c>
      <c r="B131" s="3" t="s">
        <v>283</v>
      </c>
      <c r="C131" s="3" t="s">
        <v>30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si="12"/>
        <v>307</v>
      </c>
      <c r="J131" s="5">
        <v>500</v>
      </c>
      <c r="K131" s="6">
        <f t="shared" si="13"/>
        <v>0.61399999999999999</v>
      </c>
      <c r="L131" s="7">
        <f t="shared" si="14"/>
        <v>0.38600000000000001</v>
      </c>
    </row>
    <row r="132" spans="1:12" x14ac:dyDescent="0.3">
      <c r="A132" s="2" t="s">
        <v>284</v>
      </c>
      <c r="B132" s="3" t="s">
        <v>4</v>
      </c>
      <c r="C132" s="3" t="s">
        <v>32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12"/>
        <v>355</v>
      </c>
      <c r="J132" s="5">
        <v>500</v>
      </c>
      <c r="K132" s="6">
        <f t="shared" si="13"/>
        <v>0.71</v>
      </c>
      <c r="L132" s="7">
        <f t="shared" si="14"/>
        <v>0.29000000000000004</v>
      </c>
    </row>
    <row r="133" spans="1:12" x14ac:dyDescent="0.3">
      <c r="A133" s="2" t="s">
        <v>285</v>
      </c>
      <c r="B133" s="3" t="s">
        <v>286</v>
      </c>
      <c r="C133" s="3" t="s">
        <v>35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12"/>
        <v>264</v>
      </c>
      <c r="J133" s="5">
        <v>500</v>
      </c>
      <c r="K133" s="6">
        <f t="shared" si="13"/>
        <v>0.52800000000000002</v>
      </c>
      <c r="L133" s="7">
        <f t="shared" si="14"/>
        <v>0.47199999999999998</v>
      </c>
    </row>
    <row r="134" spans="1:12" x14ac:dyDescent="0.3">
      <c r="A134" s="2" t="s">
        <v>287</v>
      </c>
      <c r="B134" s="3" t="s">
        <v>288</v>
      </c>
      <c r="C134" s="3" t="s">
        <v>38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12"/>
        <v>346</v>
      </c>
      <c r="J134" s="5">
        <v>500</v>
      </c>
      <c r="K134" s="6">
        <f t="shared" si="13"/>
        <v>0.69199999999999995</v>
      </c>
      <c r="L134" s="7">
        <f t="shared" si="14"/>
        <v>0.30800000000000005</v>
      </c>
    </row>
    <row r="135" spans="1:12" x14ac:dyDescent="0.3">
      <c r="A135" s="2" t="s">
        <v>289</v>
      </c>
      <c r="B135" s="3" t="s">
        <v>290</v>
      </c>
      <c r="C135" s="3" t="s">
        <v>41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12"/>
        <v>217</v>
      </c>
      <c r="J135" s="5">
        <v>500</v>
      </c>
      <c r="K135" s="6">
        <f t="shared" si="13"/>
        <v>0.434</v>
      </c>
      <c r="L135" s="7">
        <f t="shared" si="14"/>
        <v>0.56600000000000006</v>
      </c>
    </row>
    <row r="136" spans="1:12" x14ac:dyDescent="0.3">
      <c r="A136" s="2" t="s">
        <v>291</v>
      </c>
      <c r="B136" s="3" t="s">
        <v>292</v>
      </c>
      <c r="C136" s="3" t="s">
        <v>44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12"/>
        <v>271</v>
      </c>
      <c r="J136" s="5">
        <v>500</v>
      </c>
      <c r="K136" s="6">
        <f t="shared" si="13"/>
        <v>0.54200000000000004</v>
      </c>
      <c r="L136" s="7">
        <f t="shared" si="14"/>
        <v>0.45799999999999996</v>
      </c>
    </row>
    <row r="137" spans="1:12" x14ac:dyDescent="0.3">
      <c r="A137" s="2" t="s">
        <v>293</v>
      </c>
      <c r="B137" s="3" t="s">
        <v>294</v>
      </c>
      <c r="C137" s="3" t="s">
        <v>47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12"/>
        <v>316</v>
      </c>
      <c r="J137" s="5">
        <v>500</v>
      </c>
      <c r="K137" s="6">
        <f t="shared" si="13"/>
        <v>0.63200000000000001</v>
      </c>
      <c r="L137" s="7">
        <f t="shared" si="14"/>
        <v>0.36799999999999999</v>
      </c>
    </row>
    <row r="138" spans="1:12" x14ac:dyDescent="0.3">
      <c r="A138" s="2" t="s">
        <v>295</v>
      </c>
      <c r="B138" s="3" t="s">
        <v>296</v>
      </c>
      <c r="C138" s="3" t="s">
        <v>27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12"/>
        <v>288</v>
      </c>
      <c r="J138" s="5">
        <v>500</v>
      </c>
      <c r="K138" s="6">
        <f t="shared" si="13"/>
        <v>0.57599999999999996</v>
      </c>
      <c r="L138" s="7">
        <f t="shared" si="14"/>
        <v>0.42400000000000004</v>
      </c>
    </row>
    <row r="139" spans="1:12" x14ac:dyDescent="0.3">
      <c r="A139" s="2" t="s">
        <v>297</v>
      </c>
      <c r="B139" s="3" t="s">
        <v>298</v>
      </c>
      <c r="C139" s="3" t="s">
        <v>30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12"/>
        <v>382</v>
      </c>
      <c r="J139" s="5">
        <v>500</v>
      </c>
      <c r="K139" s="6">
        <f t="shared" si="13"/>
        <v>0.76400000000000001</v>
      </c>
      <c r="L139" s="7">
        <f t="shared" si="14"/>
        <v>0.23599999999999999</v>
      </c>
    </row>
    <row r="140" spans="1:12" x14ac:dyDescent="0.3">
      <c r="A140" s="2" t="s">
        <v>299</v>
      </c>
      <c r="B140" s="3" t="s">
        <v>300</v>
      </c>
      <c r="C140" s="3" t="s">
        <v>32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12"/>
        <v>316</v>
      </c>
      <c r="J140" s="5">
        <v>500</v>
      </c>
      <c r="K140" s="6">
        <f t="shared" si="13"/>
        <v>0.63200000000000001</v>
      </c>
      <c r="L140" s="7">
        <f t="shared" si="14"/>
        <v>0.36799999999999999</v>
      </c>
    </row>
    <row r="141" spans="1:12" x14ac:dyDescent="0.3">
      <c r="A141" s="2" t="s">
        <v>301</v>
      </c>
      <c r="B141" s="3" t="s">
        <v>302</v>
      </c>
      <c r="C141" s="3" t="s">
        <v>35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12"/>
        <v>316</v>
      </c>
      <c r="J141" s="5">
        <v>500</v>
      </c>
      <c r="K141" s="6">
        <f t="shared" si="13"/>
        <v>0.63200000000000001</v>
      </c>
      <c r="L141" s="7">
        <f t="shared" si="14"/>
        <v>0.36799999999999999</v>
      </c>
    </row>
    <row r="142" spans="1:12" x14ac:dyDescent="0.3">
      <c r="A142" s="2" t="s">
        <v>303</v>
      </c>
      <c r="B142" s="3" t="s">
        <v>304</v>
      </c>
      <c r="C142" s="3" t="s">
        <v>38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12"/>
        <v>286</v>
      </c>
      <c r="J142" s="5">
        <v>500</v>
      </c>
      <c r="K142" s="6">
        <f t="shared" si="13"/>
        <v>0.57199999999999995</v>
      </c>
      <c r="L142" s="7">
        <f t="shared" si="14"/>
        <v>0.42800000000000005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31"/>
  <sheetViews>
    <sheetView zoomScale="93" workbookViewId="0">
      <selection activeCell="A24" sqref="A24"/>
    </sheetView>
  </sheetViews>
  <sheetFormatPr defaultRowHeight="14.4" x14ac:dyDescent="0.3"/>
  <sheetData>
    <row r="1" spans="1:2" x14ac:dyDescent="0.3">
      <c r="A1" t="s">
        <v>305</v>
      </c>
    </row>
    <row r="2" spans="1:2" x14ac:dyDescent="0.3">
      <c r="A2" t="s">
        <v>15</v>
      </c>
      <c r="B2" t="s">
        <v>21</v>
      </c>
    </row>
    <row r="3" spans="1:2" x14ac:dyDescent="0.3">
      <c r="A3" t="s">
        <v>35</v>
      </c>
      <c r="B3">
        <v>5063</v>
      </c>
    </row>
    <row r="4" spans="1:2" x14ac:dyDescent="0.3">
      <c r="A4" t="s">
        <v>30</v>
      </c>
      <c r="B4">
        <v>4965</v>
      </c>
    </row>
    <row r="5" spans="1:2" x14ac:dyDescent="0.3">
      <c r="A5" t="s">
        <v>27</v>
      </c>
      <c r="B5">
        <v>5197</v>
      </c>
    </row>
    <row r="6" spans="1:2" x14ac:dyDescent="0.3">
      <c r="A6" t="s">
        <v>32</v>
      </c>
      <c r="B6">
        <v>5248</v>
      </c>
    </row>
    <row r="7" spans="1:2" x14ac:dyDescent="0.3">
      <c r="A7" t="s">
        <v>41</v>
      </c>
      <c r="B7">
        <v>4597</v>
      </c>
    </row>
    <row r="8" spans="1:2" x14ac:dyDescent="0.3">
      <c r="A8" t="s">
        <v>38</v>
      </c>
      <c r="B8">
        <v>5067</v>
      </c>
    </row>
    <row r="9" spans="1:2" x14ac:dyDescent="0.3">
      <c r="A9" t="s">
        <v>44</v>
      </c>
      <c r="B9">
        <v>4296</v>
      </c>
    </row>
    <row r="10" spans="1:2" x14ac:dyDescent="0.3">
      <c r="A10" t="s">
        <v>47</v>
      </c>
      <c r="B10">
        <v>4512</v>
      </c>
    </row>
    <row r="12" spans="1:2" x14ac:dyDescent="0.3">
      <c r="A12" t="s">
        <v>306</v>
      </c>
    </row>
    <row r="13" spans="1:2" x14ac:dyDescent="0.3">
      <c r="A13" t="s">
        <v>0</v>
      </c>
      <c r="B13" t="s">
        <v>21</v>
      </c>
    </row>
    <row r="14" spans="1:2" x14ac:dyDescent="0.3">
      <c r="A14" t="s">
        <v>249</v>
      </c>
      <c r="B14">
        <v>389</v>
      </c>
    </row>
    <row r="15" spans="1:2" x14ac:dyDescent="0.3">
      <c r="A15" t="s">
        <v>156</v>
      </c>
      <c r="B15">
        <v>385</v>
      </c>
    </row>
    <row r="16" spans="1:2" x14ac:dyDescent="0.3">
      <c r="A16" t="s">
        <v>194</v>
      </c>
      <c r="B16">
        <v>384</v>
      </c>
    </row>
    <row r="17" spans="1:2" x14ac:dyDescent="0.3">
      <c r="A17" t="s">
        <v>298</v>
      </c>
      <c r="B17">
        <v>382</v>
      </c>
    </row>
    <row r="18" spans="1:2" x14ac:dyDescent="0.3">
      <c r="A18" t="s">
        <v>6</v>
      </c>
      <c r="B18">
        <v>379</v>
      </c>
    </row>
    <row r="25" spans="1:2" x14ac:dyDescent="0.3">
      <c r="A25" t="s">
        <v>307</v>
      </c>
    </row>
    <row r="26" spans="1:2" x14ac:dyDescent="0.3">
      <c r="A26" t="s">
        <v>308</v>
      </c>
      <c r="B26" t="s">
        <v>21</v>
      </c>
    </row>
    <row r="27" spans="1:2" x14ac:dyDescent="0.3">
      <c r="A27" t="s">
        <v>16</v>
      </c>
      <c r="B27">
        <v>7922</v>
      </c>
    </row>
    <row r="28" spans="1:2" x14ac:dyDescent="0.3">
      <c r="A28" t="s">
        <v>17</v>
      </c>
      <c r="B28">
        <v>7965</v>
      </c>
    </row>
    <row r="29" spans="1:2" x14ac:dyDescent="0.3">
      <c r="A29" t="s">
        <v>18</v>
      </c>
      <c r="B29">
        <v>7383</v>
      </c>
    </row>
    <row r="30" spans="1:2" x14ac:dyDescent="0.3">
      <c r="A30" t="s">
        <v>19</v>
      </c>
      <c r="B30">
        <v>8323</v>
      </c>
    </row>
    <row r="31" spans="1:2" x14ac:dyDescent="0.3">
      <c r="A31" t="s">
        <v>20</v>
      </c>
      <c r="B31">
        <v>7352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RAW DATA</vt:lpstr>
      <vt:lpstr>Dashboard_V2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Shyam Gupta</cp:lastModifiedBy>
  <dcterms:created xsi:type="dcterms:W3CDTF">2022-05-30T01:30:00Z</dcterms:created>
  <dcterms:modified xsi:type="dcterms:W3CDTF">2025-11-26T18:33:35Z</dcterms:modified>
</cp:coreProperties>
</file>